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laramlab-my.sharepoint.com/personal/coreteam_melaramlab_com/Documents/Melaram Lab Repository/UG Projects/HABs in Agricultural Irrigation - ED, ARN, RM/Experimental Data/Cotton Tracking/"/>
    </mc:Choice>
  </mc:AlternateContent>
  <xr:revisionPtr revIDLastSave="1466" documentId="8_{3435203B-93EB-3E47-B7C6-FBD50C021D51}" xr6:coauthVersionLast="47" xr6:coauthVersionMax="47" xr10:uidLastSave="{85D37589-E17D-C241-AC35-6FAB0CB1AF31}"/>
  <bookViews>
    <workbookView xWindow="0" yWindow="740" windowWidth="19260" windowHeight="16680" xr2:uid="{3CE341D3-BCFD-734D-AEB9-6FA6D0E0679F}"/>
  </bookViews>
  <sheets>
    <sheet name="# Leaves" sheetId="1" r:id="rId1"/>
    <sheet name="SPAD" sheetId="2" r:id="rId2"/>
    <sheet name="LAI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3" l="1"/>
  <c r="K8" i="3"/>
  <c r="K12" i="3"/>
  <c r="K11" i="3"/>
  <c r="K9" i="3"/>
  <c r="K7" i="3"/>
  <c r="K6" i="3"/>
  <c r="K5" i="3"/>
  <c r="K4" i="3"/>
  <c r="C8" i="2"/>
  <c r="C9" i="2"/>
  <c r="C10" i="2"/>
  <c r="C11" i="2"/>
  <c r="C12" i="2"/>
  <c r="C13" i="2"/>
  <c r="C14" i="2"/>
  <c r="C16" i="2"/>
  <c r="C19" i="2"/>
  <c r="C18" i="2"/>
  <c r="C17" i="2"/>
  <c r="C15" i="2"/>
  <c r="B442" i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19" i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396" i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373" i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50" i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27" i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04" i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281" i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258" i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35" i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12" i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189" i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166" i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43" i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20" i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97" i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74" i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52" i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29" i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<sst xmlns="http://schemas.openxmlformats.org/spreadsheetml/2006/main" count="1579" uniqueCount="72">
  <si>
    <t>Pot #</t>
  </si>
  <si>
    <t>Observations</t>
  </si>
  <si>
    <t>Planted 3 seeds per pot 3/4 in deep</t>
  </si>
  <si>
    <t>no growth</t>
  </si>
  <si>
    <t>1E</t>
  </si>
  <si>
    <t>2E</t>
  </si>
  <si>
    <t>1L</t>
  </si>
  <si>
    <t>1E, 1L</t>
  </si>
  <si>
    <t>2L</t>
  </si>
  <si>
    <t>3L</t>
  </si>
  <si>
    <t>3E</t>
  </si>
  <si>
    <t>1L, 1D</t>
  </si>
  <si>
    <t>1 @ 3L</t>
  </si>
  <si>
    <t>2 @ 3L</t>
  </si>
  <si>
    <t>1 @ 3L, 1L</t>
  </si>
  <si>
    <t>1 @ 4L, 1L</t>
  </si>
  <si>
    <t>RP</t>
  </si>
  <si>
    <t>2 @ 4L</t>
  </si>
  <si>
    <t>1 @ 4L</t>
  </si>
  <si>
    <t>1 @ 4L, 2 @ 3L</t>
  </si>
  <si>
    <t>1 @ 5L, 1L</t>
  </si>
  <si>
    <t>3 @ 3L</t>
  </si>
  <si>
    <t>1 @ 4L, 1 @ 5L</t>
  </si>
  <si>
    <t>1 @ 3L, 1E</t>
  </si>
  <si>
    <t>1 @ 6L, 1L</t>
  </si>
  <si>
    <t>1 @ 6L, 1 @ 5L</t>
  </si>
  <si>
    <t>1 @ 4L, 1E</t>
  </si>
  <si>
    <t>TRANSPLANTATION NOTES</t>
  </si>
  <si>
    <t>Original #</t>
  </si>
  <si>
    <t>New #</t>
  </si>
  <si>
    <t>C1</t>
  </si>
  <si>
    <t>C2</t>
  </si>
  <si>
    <t>C3</t>
  </si>
  <si>
    <t>H1</t>
  </si>
  <si>
    <t>H2</t>
  </si>
  <si>
    <t>H3</t>
  </si>
  <si>
    <t>L1</t>
  </si>
  <si>
    <t>L2</t>
  </si>
  <si>
    <t>L3</t>
  </si>
  <si>
    <t>E1</t>
  </si>
  <si>
    <t>E2</t>
  </si>
  <si>
    <t>E3</t>
  </si>
  <si>
    <t>4L</t>
  </si>
  <si>
    <t>6L</t>
  </si>
  <si>
    <t>5L</t>
  </si>
  <si>
    <t xml:space="preserve">DROOPY </t>
  </si>
  <si>
    <t>DROOPY  AND WILTED</t>
  </si>
  <si>
    <t>4L, 1E</t>
  </si>
  <si>
    <t>3L, 1E</t>
  </si>
  <si>
    <t>DROOPY , STANDING TALL</t>
  </si>
  <si>
    <t xml:space="preserve"> STANDING TALL</t>
  </si>
  <si>
    <t>Date</t>
  </si>
  <si>
    <t>Reading</t>
  </si>
  <si>
    <t>OVERCAST DAY MAY AFFECT READINGS</t>
  </si>
  <si>
    <t>SUNNY &amp; CLEAR. EXTRA POTS ARE AT A LOWER STAGE THAN REST!</t>
  </si>
  <si>
    <t>#LEAVES</t>
  </si>
  <si>
    <t>#SQUARES</t>
  </si>
  <si>
    <t>#BLOOMS</t>
  </si>
  <si>
    <t>HIGH DOSE</t>
  </si>
  <si>
    <t>LOW DOSE</t>
  </si>
  <si>
    <t>CONTROL</t>
  </si>
  <si>
    <t>EXTRA</t>
  </si>
  <si>
    <t>AVERAGES</t>
  </si>
  <si>
    <t># BOLLS</t>
  </si>
  <si>
    <t>FOR 6/19 AND 7/3</t>
  </si>
  <si>
    <t>Height (cm)</t>
  </si>
  <si>
    <t>Internode length (cm)</t>
  </si>
  <si>
    <t>Important to note that in July all factors were being monitored</t>
  </si>
  <si>
    <t>This is due to the delay in knowing if we were going ot be using</t>
  </si>
  <si>
    <t>these plants for the experiment. Exta plants were not</t>
  </si>
  <si>
    <t>measured for height and internode length as I knew we weren't</t>
  </si>
  <si>
    <t>going to be using these plants for the actual experiment.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</si>
</sst>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ptos Narrow (Body)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16" fontId="0" fillId="0" borderId="0" xfId="0" applyNumberFormat="1"/>
    <xf numFmtId="0" fontId="2" fillId="0" borderId="0" xfId="1" applyFont="1"/>
    <xf numFmtId="0" fontId="3" fillId="0" borderId="0" xfId="0" applyFont="1"/>
    <xf numFmtId="0" fontId="4" fillId="0" borderId="0" xfId="0" applyFont="1"/>
    <xf numFmtId="16" fontId="5" fillId="0" borderId="0" xfId="0" applyNumberFormat="1" applyFont="1"/>
    <xf numFmtId="0" fontId="5" fillId="0" borderId="0" xfId="0" applyFont="1"/>
    <xf numFmtId="0" fontId="7" fillId="0" borderId="0" xfId="0" applyFont="1"/>
    <xf numFmtId="0" fontId="3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17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1@3L" TargetMode="External"/><Relationship Id="rId3" Type="http://schemas.openxmlformats.org/officeDocument/2006/relationships/hyperlink" Target="mailto:1@3L" TargetMode="External"/><Relationship Id="rId7" Type="http://schemas.openxmlformats.org/officeDocument/2006/relationships/hyperlink" Target="mailto:1@3L" TargetMode="External"/><Relationship Id="rId2" Type="http://schemas.openxmlformats.org/officeDocument/2006/relationships/hyperlink" Target="mailto:1@3L" TargetMode="External"/><Relationship Id="rId1" Type="http://schemas.openxmlformats.org/officeDocument/2006/relationships/hyperlink" Target="mailto:1@3L" TargetMode="External"/><Relationship Id="rId6" Type="http://schemas.openxmlformats.org/officeDocument/2006/relationships/hyperlink" Target="mailto:1@3L" TargetMode="External"/><Relationship Id="rId5" Type="http://schemas.openxmlformats.org/officeDocument/2006/relationships/hyperlink" Target="mailto:1@3L" TargetMode="External"/><Relationship Id="rId4" Type="http://schemas.openxmlformats.org/officeDocument/2006/relationships/hyperlink" Target="mailto:1@3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E951A-ACED-3E43-93E6-57EC378ACA37}">
  <dimension ref="A1:AC505"/>
  <sheetViews>
    <sheetView tabSelected="1" topLeftCell="K1" zoomScale="75" workbookViewId="0">
      <selection activeCell="U271" sqref="U271"/>
    </sheetView>
  </sheetViews>
  <sheetFormatPr baseColWidth="10" defaultRowHeight="16" x14ac:dyDescent="0.2"/>
  <cols>
    <col min="2" max="2" width="10.83203125" customWidth="1"/>
    <col min="3" max="3" width="3.5" customWidth="1"/>
    <col min="23" max="23" width="19" customWidth="1"/>
  </cols>
  <sheetData>
    <row r="1" spans="1:29" x14ac:dyDescent="0.2">
      <c r="A1" s="1">
        <v>46150</v>
      </c>
      <c r="H1" s="1">
        <v>46174</v>
      </c>
      <c r="O1" s="5">
        <v>46204</v>
      </c>
      <c r="P1" s="6"/>
      <c r="Q1" s="6"/>
      <c r="R1" s="6"/>
    </row>
    <row r="2" spans="1:29" x14ac:dyDescent="0.2">
      <c r="B2" t="s">
        <v>0</v>
      </c>
      <c r="D2" t="s">
        <v>1</v>
      </c>
      <c r="I2" t="s">
        <v>0</v>
      </c>
      <c r="K2" t="s">
        <v>1</v>
      </c>
      <c r="O2" s="6"/>
      <c r="P2" s="6" t="s">
        <v>0</v>
      </c>
      <c r="Q2" s="6"/>
      <c r="R2" s="6" t="s">
        <v>55</v>
      </c>
      <c r="S2" t="s">
        <v>56</v>
      </c>
      <c r="T2" s="6" t="s">
        <v>57</v>
      </c>
      <c r="U2" s="6" t="s">
        <v>63</v>
      </c>
      <c r="V2" s="6" t="s">
        <v>65</v>
      </c>
      <c r="W2" s="6" t="s">
        <v>66</v>
      </c>
      <c r="Y2" s="10" t="s">
        <v>67</v>
      </c>
      <c r="Z2" s="10"/>
      <c r="AA2" s="10"/>
      <c r="AB2" s="10"/>
      <c r="AC2" s="10"/>
    </row>
    <row r="3" spans="1:29" x14ac:dyDescent="0.2">
      <c r="B3">
        <v>1</v>
      </c>
      <c r="D3" t="s">
        <v>2</v>
      </c>
      <c r="I3" t="s">
        <v>33</v>
      </c>
      <c r="K3" t="s">
        <v>42</v>
      </c>
      <c r="L3" s="8" t="s">
        <v>46</v>
      </c>
      <c r="M3" s="8"/>
      <c r="O3" s="6"/>
      <c r="P3" s="6" t="s">
        <v>33</v>
      </c>
      <c r="Q3" s="6"/>
      <c r="R3" s="6">
        <v>16</v>
      </c>
      <c r="S3">
        <v>0</v>
      </c>
      <c r="T3">
        <v>0</v>
      </c>
      <c r="U3">
        <v>0</v>
      </c>
      <c r="V3">
        <v>46.2</v>
      </c>
      <c r="W3">
        <v>5</v>
      </c>
      <c r="Y3" s="10" t="s">
        <v>68</v>
      </c>
      <c r="Z3" s="10"/>
      <c r="AA3" s="10"/>
      <c r="AB3" s="10"/>
      <c r="AC3" s="10"/>
    </row>
    <row r="4" spans="1:29" x14ac:dyDescent="0.2">
      <c r="B4">
        <f>B3+1</f>
        <v>2</v>
      </c>
      <c r="D4" t="s">
        <v>2</v>
      </c>
      <c r="I4" t="s">
        <v>34</v>
      </c>
      <c r="K4" t="s">
        <v>42</v>
      </c>
      <c r="L4" s="8" t="s">
        <v>46</v>
      </c>
      <c r="M4" s="8"/>
      <c r="O4" s="6"/>
      <c r="P4" s="6" t="s">
        <v>34</v>
      </c>
      <c r="Q4" s="6"/>
      <c r="R4" s="6">
        <v>8</v>
      </c>
      <c r="S4">
        <v>0</v>
      </c>
      <c r="T4">
        <v>0</v>
      </c>
      <c r="U4">
        <v>0</v>
      </c>
      <c r="V4">
        <v>45.3</v>
      </c>
      <c r="W4">
        <v>5.5</v>
      </c>
      <c r="Y4" s="10" t="s">
        <v>69</v>
      </c>
      <c r="Z4" s="10"/>
      <c r="AA4" s="10"/>
      <c r="AB4" s="10"/>
      <c r="AC4" s="10"/>
    </row>
    <row r="5" spans="1:29" x14ac:dyDescent="0.2">
      <c r="B5">
        <f t="shared" ref="B5:B22" si="0">B4+1</f>
        <v>3</v>
      </c>
      <c r="D5" t="s">
        <v>2</v>
      </c>
      <c r="I5" t="s">
        <v>35</v>
      </c>
      <c r="K5" t="s">
        <v>43</v>
      </c>
      <c r="L5" s="8" t="s">
        <v>46</v>
      </c>
      <c r="M5" s="8"/>
      <c r="O5" s="6"/>
      <c r="P5" s="6" t="s">
        <v>35</v>
      </c>
      <c r="Q5" s="6"/>
      <c r="R5" s="6">
        <v>11</v>
      </c>
      <c r="S5">
        <v>0</v>
      </c>
      <c r="T5">
        <v>0</v>
      </c>
      <c r="U5">
        <v>0</v>
      </c>
      <c r="V5">
        <v>45.7</v>
      </c>
      <c r="W5">
        <v>5.5</v>
      </c>
      <c r="Y5" s="3" t="s">
        <v>70</v>
      </c>
    </row>
    <row r="6" spans="1:29" x14ac:dyDescent="0.2">
      <c r="B6">
        <f t="shared" si="0"/>
        <v>4</v>
      </c>
      <c r="D6" t="s">
        <v>2</v>
      </c>
      <c r="I6" t="s">
        <v>36</v>
      </c>
      <c r="K6" t="s">
        <v>44</v>
      </c>
      <c r="L6" s="8" t="s">
        <v>46</v>
      </c>
      <c r="M6" s="8"/>
      <c r="O6" s="6"/>
      <c r="P6" s="6" t="s">
        <v>36</v>
      </c>
      <c r="Q6" s="6"/>
      <c r="R6" s="6">
        <v>7</v>
      </c>
      <c r="S6">
        <v>0</v>
      </c>
      <c r="T6">
        <v>0</v>
      </c>
      <c r="U6">
        <v>0</v>
      </c>
      <c r="V6">
        <v>46.4</v>
      </c>
      <c r="W6">
        <v>5</v>
      </c>
      <c r="Y6" s="3" t="s">
        <v>71</v>
      </c>
    </row>
    <row r="7" spans="1:29" x14ac:dyDescent="0.2">
      <c r="B7">
        <f t="shared" si="0"/>
        <v>5</v>
      </c>
      <c r="D7" t="s">
        <v>2</v>
      </c>
      <c r="I7" t="s">
        <v>37</v>
      </c>
      <c r="K7" t="s">
        <v>43</v>
      </c>
      <c r="L7" s="8" t="s">
        <v>46</v>
      </c>
      <c r="M7" s="8"/>
      <c r="O7" s="6"/>
      <c r="P7" s="6" t="s">
        <v>37</v>
      </c>
      <c r="Q7" s="6"/>
      <c r="R7" s="6">
        <v>8</v>
      </c>
      <c r="S7">
        <v>0</v>
      </c>
      <c r="T7">
        <v>0</v>
      </c>
      <c r="U7">
        <v>0</v>
      </c>
      <c r="V7">
        <v>46.8</v>
      </c>
      <c r="W7">
        <v>5.5</v>
      </c>
    </row>
    <row r="8" spans="1:29" x14ac:dyDescent="0.2">
      <c r="B8">
        <f t="shared" si="0"/>
        <v>6</v>
      </c>
      <c r="D8" t="s">
        <v>2</v>
      </c>
      <c r="I8" t="s">
        <v>38</v>
      </c>
      <c r="K8" t="s">
        <v>9</v>
      </c>
      <c r="L8" s="8" t="s">
        <v>46</v>
      </c>
      <c r="M8" s="8"/>
      <c r="O8" s="6"/>
      <c r="P8" s="6" t="s">
        <v>38</v>
      </c>
      <c r="Q8" s="6"/>
      <c r="R8" s="6">
        <v>9</v>
      </c>
      <c r="S8">
        <v>0</v>
      </c>
      <c r="T8">
        <v>0</v>
      </c>
      <c r="U8">
        <v>0</v>
      </c>
      <c r="V8">
        <v>46</v>
      </c>
      <c r="W8">
        <v>6</v>
      </c>
    </row>
    <row r="9" spans="1:29" x14ac:dyDescent="0.2">
      <c r="B9">
        <f t="shared" si="0"/>
        <v>7</v>
      </c>
      <c r="D9" t="s">
        <v>2</v>
      </c>
      <c r="I9" t="s">
        <v>30</v>
      </c>
      <c r="K9" t="s">
        <v>42</v>
      </c>
      <c r="L9" s="8" t="s">
        <v>46</v>
      </c>
      <c r="M9" s="8"/>
      <c r="O9" s="6"/>
      <c r="P9" s="6" t="s">
        <v>30</v>
      </c>
      <c r="Q9" s="6"/>
      <c r="R9" s="6">
        <v>14</v>
      </c>
      <c r="S9">
        <v>0</v>
      </c>
      <c r="T9">
        <v>0</v>
      </c>
      <c r="U9">
        <v>0</v>
      </c>
      <c r="V9">
        <v>45.5</v>
      </c>
      <c r="W9">
        <v>5</v>
      </c>
    </row>
    <row r="10" spans="1:29" x14ac:dyDescent="0.2">
      <c r="B10">
        <f t="shared" si="0"/>
        <v>8</v>
      </c>
      <c r="D10" t="s">
        <v>2</v>
      </c>
      <c r="I10" t="s">
        <v>31</v>
      </c>
      <c r="K10" t="s">
        <v>42</v>
      </c>
      <c r="L10" s="8" t="s">
        <v>46</v>
      </c>
      <c r="M10" s="8"/>
      <c r="O10" s="6"/>
      <c r="P10" s="6" t="s">
        <v>31</v>
      </c>
      <c r="Q10" s="6"/>
      <c r="R10" s="6">
        <v>8</v>
      </c>
      <c r="S10">
        <v>0</v>
      </c>
      <c r="T10">
        <v>0</v>
      </c>
      <c r="U10">
        <v>0</v>
      </c>
      <c r="V10">
        <v>45</v>
      </c>
      <c r="W10">
        <v>5.5</v>
      </c>
    </row>
    <row r="11" spans="1:29" x14ac:dyDescent="0.2">
      <c r="B11">
        <f t="shared" si="0"/>
        <v>9</v>
      </c>
      <c r="D11" t="s">
        <v>2</v>
      </c>
      <c r="I11" t="s">
        <v>32</v>
      </c>
      <c r="K11" s="2" t="s">
        <v>42</v>
      </c>
      <c r="L11" s="8" t="s">
        <v>46</v>
      </c>
      <c r="M11" s="8"/>
      <c r="O11" s="6"/>
      <c r="P11" s="6" t="s">
        <v>32</v>
      </c>
      <c r="Q11" s="6"/>
      <c r="R11" s="7">
        <v>7</v>
      </c>
      <c r="S11">
        <v>0</v>
      </c>
      <c r="T11">
        <v>0</v>
      </c>
      <c r="U11">
        <v>0</v>
      </c>
      <c r="V11">
        <v>44.2</v>
      </c>
      <c r="W11">
        <v>5</v>
      </c>
    </row>
    <row r="12" spans="1:29" x14ac:dyDescent="0.2">
      <c r="B12">
        <f t="shared" si="0"/>
        <v>10</v>
      </c>
      <c r="D12" t="s">
        <v>2</v>
      </c>
      <c r="I12" t="s">
        <v>39</v>
      </c>
      <c r="K12" s="2" t="s">
        <v>42</v>
      </c>
      <c r="L12" s="8" t="s">
        <v>46</v>
      </c>
      <c r="M12" s="8"/>
      <c r="O12" s="6"/>
      <c r="P12" s="6" t="s">
        <v>39</v>
      </c>
      <c r="Q12" s="6"/>
      <c r="R12" s="7">
        <v>7</v>
      </c>
      <c r="S12">
        <v>0</v>
      </c>
      <c r="T12">
        <v>0</v>
      </c>
      <c r="U12">
        <v>0</v>
      </c>
    </row>
    <row r="13" spans="1:29" x14ac:dyDescent="0.2">
      <c r="B13">
        <f t="shared" si="0"/>
        <v>11</v>
      </c>
      <c r="D13" t="s">
        <v>2</v>
      </c>
      <c r="I13" t="s">
        <v>40</v>
      </c>
      <c r="K13" s="2" t="s">
        <v>42</v>
      </c>
      <c r="L13" s="8" t="s">
        <v>46</v>
      </c>
      <c r="M13" s="8"/>
      <c r="O13" s="6"/>
      <c r="P13" s="6" t="s">
        <v>40</v>
      </c>
      <c r="Q13" s="6"/>
      <c r="R13" s="7">
        <v>8</v>
      </c>
      <c r="S13">
        <v>0</v>
      </c>
      <c r="T13">
        <v>0</v>
      </c>
      <c r="U13">
        <v>0</v>
      </c>
    </row>
    <row r="14" spans="1:29" x14ac:dyDescent="0.2">
      <c r="B14">
        <f t="shared" si="0"/>
        <v>12</v>
      </c>
      <c r="D14" t="s">
        <v>2</v>
      </c>
      <c r="I14" t="s">
        <v>41</v>
      </c>
      <c r="K14" s="2" t="s">
        <v>42</v>
      </c>
      <c r="L14" s="8" t="s">
        <v>46</v>
      </c>
      <c r="M14" s="8"/>
      <c r="O14" s="6"/>
      <c r="P14" s="6" t="s">
        <v>41</v>
      </c>
      <c r="Q14" s="6"/>
      <c r="R14" s="7">
        <v>5</v>
      </c>
      <c r="S14">
        <v>0</v>
      </c>
      <c r="T14">
        <v>0</v>
      </c>
      <c r="U14">
        <v>0</v>
      </c>
    </row>
    <row r="15" spans="1:29" x14ac:dyDescent="0.2">
      <c r="B15">
        <f t="shared" si="0"/>
        <v>13</v>
      </c>
      <c r="D15" t="s">
        <v>2</v>
      </c>
    </row>
    <row r="16" spans="1:29" x14ac:dyDescent="0.2">
      <c r="B16">
        <f t="shared" si="0"/>
        <v>14</v>
      </c>
      <c r="D16" t="s">
        <v>2</v>
      </c>
      <c r="H16" s="1">
        <v>46175</v>
      </c>
      <c r="O16" s="5">
        <v>46205</v>
      </c>
      <c r="P16" s="6"/>
      <c r="Q16" s="6"/>
      <c r="R16" s="6"/>
    </row>
    <row r="17" spans="1:23" x14ac:dyDescent="0.2">
      <c r="B17">
        <f t="shared" si="0"/>
        <v>15</v>
      </c>
      <c r="D17" t="s">
        <v>2</v>
      </c>
      <c r="I17" t="s">
        <v>0</v>
      </c>
      <c r="K17" t="s">
        <v>1</v>
      </c>
      <c r="O17" s="6"/>
      <c r="P17" s="6" t="s">
        <v>0</v>
      </c>
      <c r="Q17" s="6"/>
      <c r="R17" s="6" t="s">
        <v>55</v>
      </c>
      <c r="S17" t="s">
        <v>56</v>
      </c>
      <c r="T17" s="6" t="s">
        <v>57</v>
      </c>
      <c r="U17" s="6" t="s">
        <v>63</v>
      </c>
      <c r="V17" s="6" t="s">
        <v>65</v>
      </c>
      <c r="W17" s="6" t="s">
        <v>66</v>
      </c>
    </row>
    <row r="18" spans="1:23" x14ac:dyDescent="0.2">
      <c r="B18">
        <f t="shared" si="0"/>
        <v>16</v>
      </c>
      <c r="D18" t="s">
        <v>2</v>
      </c>
      <c r="I18" t="s">
        <v>33</v>
      </c>
      <c r="K18" t="s">
        <v>42</v>
      </c>
      <c r="L18" s="8" t="s">
        <v>46</v>
      </c>
      <c r="M18" s="8"/>
      <c r="O18" s="6"/>
      <c r="P18" s="6" t="s">
        <v>33</v>
      </c>
      <c r="Q18" s="6"/>
      <c r="R18" s="6">
        <v>14</v>
      </c>
      <c r="S18">
        <v>0</v>
      </c>
      <c r="T18">
        <v>0</v>
      </c>
      <c r="U18">
        <v>0</v>
      </c>
      <c r="V18">
        <v>46.2</v>
      </c>
      <c r="W18">
        <v>5</v>
      </c>
    </row>
    <row r="19" spans="1:23" x14ac:dyDescent="0.2">
      <c r="B19">
        <f t="shared" si="0"/>
        <v>17</v>
      </c>
      <c r="D19" t="s">
        <v>2</v>
      </c>
      <c r="I19" t="s">
        <v>34</v>
      </c>
      <c r="K19" t="s">
        <v>42</v>
      </c>
      <c r="L19" s="8" t="s">
        <v>46</v>
      </c>
      <c r="M19" s="8"/>
      <c r="O19" s="6"/>
      <c r="P19" s="6" t="s">
        <v>34</v>
      </c>
      <c r="Q19" s="6"/>
      <c r="R19" s="6">
        <v>8</v>
      </c>
      <c r="S19">
        <v>0</v>
      </c>
      <c r="T19">
        <v>0</v>
      </c>
      <c r="U19">
        <v>0</v>
      </c>
      <c r="V19">
        <v>45.3</v>
      </c>
      <c r="W19">
        <v>5.5</v>
      </c>
    </row>
    <row r="20" spans="1:23" x14ac:dyDescent="0.2">
      <c r="B20">
        <f t="shared" si="0"/>
        <v>18</v>
      </c>
      <c r="D20" t="s">
        <v>2</v>
      </c>
      <c r="I20" t="s">
        <v>35</v>
      </c>
      <c r="K20" t="s">
        <v>43</v>
      </c>
      <c r="L20" s="8" t="s">
        <v>46</v>
      </c>
      <c r="M20" s="8"/>
      <c r="O20" s="6"/>
      <c r="P20" s="6" t="s">
        <v>35</v>
      </c>
      <c r="Q20" s="6"/>
      <c r="R20" s="6">
        <v>10</v>
      </c>
      <c r="S20">
        <v>0</v>
      </c>
      <c r="T20">
        <v>0</v>
      </c>
      <c r="U20">
        <v>0</v>
      </c>
      <c r="V20">
        <v>45.7</v>
      </c>
      <c r="W20">
        <v>5.5</v>
      </c>
    </row>
    <row r="21" spans="1:23" x14ac:dyDescent="0.2">
      <c r="B21">
        <f t="shared" si="0"/>
        <v>19</v>
      </c>
      <c r="D21" t="s">
        <v>2</v>
      </c>
      <c r="I21" t="s">
        <v>36</v>
      </c>
      <c r="K21" t="s">
        <v>44</v>
      </c>
      <c r="L21" s="8" t="s">
        <v>46</v>
      </c>
      <c r="M21" s="8"/>
      <c r="O21" s="6"/>
      <c r="P21" s="6" t="s">
        <v>36</v>
      </c>
      <c r="Q21" s="6"/>
      <c r="R21" s="6">
        <v>7</v>
      </c>
      <c r="S21">
        <v>0</v>
      </c>
      <c r="T21">
        <v>0</v>
      </c>
      <c r="U21">
        <v>0</v>
      </c>
      <c r="V21">
        <v>46.4</v>
      </c>
      <c r="W21">
        <v>5</v>
      </c>
    </row>
    <row r="22" spans="1:23" x14ac:dyDescent="0.2">
      <c r="B22">
        <f t="shared" si="0"/>
        <v>20</v>
      </c>
      <c r="D22" t="s">
        <v>2</v>
      </c>
      <c r="I22" t="s">
        <v>37</v>
      </c>
      <c r="K22" t="s">
        <v>43</v>
      </c>
      <c r="L22" s="8" t="s">
        <v>46</v>
      </c>
      <c r="M22" s="8"/>
      <c r="O22" s="6"/>
      <c r="P22" s="6" t="s">
        <v>37</v>
      </c>
      <c r="Q22" s="6"/>
      <c r="R22" s="6">
        <v>7</v>
      </c>
      <c r="S22">
        <v>0</v>
      </c>
      <c r="T22">
        <v>0</v>
      </c>
      <c r="U22">
        <v>0</v>
      </c>
      <c r="V22">
        <v>46.8</v>
      </c>
      <c r="W22">
        <v>5.5</v>
      </c>
    </row>
    <row r="23" spans="1:23" x14ac:dyDescent="0.2">
      <c r="I23" t="s">
        <v>38</v>
      </c>
      <c r="K23" t="s">
        <v>9</v>
      </c>
      <c r="L23" s="8" t="s">
        <v>46</v>
      </c>
      <c r="M23" s="8"/>
      <c r="O23" s="6"/>
      <c r="P23" s="6" t="s">
        <v>38</v>
      </c>
      <c r="Q23" s="6"/>
      <c r="R23" s="6">
        <v>7</v>
      </c>
      <c r="S23">
        <v>0</v>
      </c>
      <c r="T23">
        <v>0</v>
      </c>
      <c r="U23">
        <v>0</v>
      </c>
      <c r="V23">
        <v>46</v>
      </c>
      <c r="W23">
        <v>6</v>
      </c>
    </row>
    <row r="24" spans="1:23" x14ac:dyDescent="0.2">
      <c r="I24" t="s">
        <v>30</v>
      </c>
      <c r="K24" t="s">
        <v>42</v>
      </c>
      <c r="L24" s="8" t="s">
        <v>46</v>
      </c>
      <c r="M24" s="8"/>
      <c r="O24" s="6"/>
      <c r="P24" s="6" t="s">
        <v>30</v>
      </c>
      <c r="Q24" s="6"/>
      <c r="R24" s="6">
        <v>13</v>
      </c>
      <c r="S24">
        <v>0</v>
      </c>
      <c r="T24">
        <v>0</v>
      </c>
      <c r="U24">
        <v>0</v>
      </c>
      <c r="V24">
        <v>45.5</v>
      </c>
      <c r="W24">
        <v>5</v>
      </c>
    </row>
    <row r="25" spans="1:23" x14ac:dyDescent="0.2">
      <c r="I25" t="s">
        <v>31</v>
      </c>
      <c r="K25" t="s">
        <v>42</v>
      </c>
      <c r="L25" s="8" t="s">
        <v>46</v>
      </c>
      <c r="M25" s="8"/>
      <c r="O25" s="6"/>
      <c r="P25" s="6" t="s">
        <v>31</v>
      </c>
      <c r="Q25" s="6"/>
      <c r="R25" s="6">
        <v>8</v>
      </c>
      <c r="S25">
        <v>0</v>
      </c>
      <c r="T25">
        <v>0</v>
      </c>
      <c r="U25">
        <v>0</v>
      </c>
      <c r="V25">
        <v>45</v>
      </c>
      <c r="W25">
        <v>5.5</v>
      </c>
    </row>
    <row r="26" spans="1:23" x14ac:dyDescent="0.2">
      <c r="A26" s="1">
        <v>46151</v>
      </c>
      <c r="I26" t="s">
        <v>32</v>
      </c>
      <c r="K26" t="s">
        <v>42</v>
      </c>
      <c r="L26" s="8" t="s">
        <v>46</v>
      </c>
      <c r="M26" s="8"/>
      <c r="O26" s="6"/>
      <c r="P26" s="6" t="s">
        <v>32</v>
      </c>
      <c r="Q26" s="6"/>
      <c r="R26" s="7">
        <v>8</v>
      </c>
      <c r="S26">
        <v>0</v>
      </c>
      <c r="T26">
        <v>0</v>
      </c>
      <c r="U26">
        <v>0</v>
      </c>
      <c r="V26">
        <v>44.2</v>
      </c>
      <c r="W26">
        <v>5</v>
      </c>
    </row>
    <row r="27" spans="1:23" x14ac:dyDescent="0.2">
      <c r="B27" t="s">
        <v>0</v>
      </c>
      <c r="D27" t="s">
        <v>1</v>
      </c>
      <c r="I27" t="s">
        <v>39</v>
      </c>
      <c r="K27" s="2" t="s">
        <v>42</v>
      </c>
      <c r="L27" s="8" t="s">
        <v>46</v>
      </c>
      <c r="M27" s="8"/>
      <c r="O27" s="6"/>
      <c r="P27" s="6" t="s">
        <v>39</v>
      </c>
      <c r="Q27" s="6"/>
      <c r="R27" s="7">
        <v>5</v>
      </c>
      <c r="S27">
        <v>0</v>
      </c>
      <c r="T27">
        <v>0</v>
      </c>
      <c r="U27">
        <v>0</v>
      </c>
    </row>
    <row r="28" spans="1:23" x14ac:dyDescent="0.2">
      <c r="B28">
        <v>1</v>
      </c>
      <c r="D28" t="s">
        <v>3</v>
      </c>
      <c r="I28" t="s">
        <v>40</v>
      </c>
      <c r="K28" s="2" t="s">
        <v>42</v>
      </c>
      <c r="L28" s="8" t="s">
        <v>46</v>
      </c>
      <c r="M28" s="8"/>
      <c r="O28" s="6"/>
      <c r="P28" s="6" t="s">
        <v>40</v>
      </c>
      <c r="Q28" s="6"/>
      <c r="R28" s="7">
        <v>6</v>
      </c>
      <c r="S28">
        <v>0</v>
      </c>
      <c r="T28">
        <v>0</v>
      </c>
      <c r="U28">
        <v>0</v>
      </c>
    </row>
    <row r="29" spans="1:23" x14ac:dyDescent="0.2">
      <c r="B29">
        <f>B28+1</f>
        <v>2</v>
      </c>
      <c r="D29" t="s">
        <v>3</v>
      </c>
      <c r="I29" t="s">
        <v>41</v>
      </c>
      <c r="K29" s="2" t="s">
        <v>42</v>
      </c>
      <c r="L29" s="8" t="s">
        <v>46</v>
      </c>
      <c r="M29" s="8"/>
      <c r="O29" s="6"/>
      <c r="P29" s="6" t="s">
        <v>41</v>
      </c>
      <c r="Q29" s="6"/>
      <c r="R29" s="7">
        <v>5</v>
      </c>
      <c r="S29">
        <v>0</v>
      </c>
      <c r="T29">
        <v>0</v>
      </c>
      <c r="U29">
        <v>0</v>
      </c>
    </row>
    <row r="30" spans="1:23" x14ac:dyDescent="0.2">
      <c r="B30">
        <f t="shared" ref="B30:B47" si="1">B29+1</f>
        <v>3</v>
      </c>
      <c r="D30" t="s">
        <v>3</v>
      </c>
    </row>
    <row r="31" spans="1:23" x14ac:dyDescent="0.2">
      <c r="B31">
        <f t="shared" si="1"/>
        <v>4</v>
      </c>
      <c r="D31" t="s">
        <v>3</v>
      </c>
      <c r="H31" s="5">
        <v>46176</v>
      </c>
      <c r="I31" s="6"/>
      <c r="J31" s="6"/>
      <c r="K31" s="6"/>
      <c r="L31" s="6"/>
      <c r="M31" s="6"/>
      <c r="O31" s="5">
        <v>46206</v>
      </c>
      <c r="P31" s="6"/>
      <c r="Q31" s="6"/>
      <c r="R31" s="6"/>
    </row>
    <row r="32" spans="1:23" x14ac:dyDescent="0.2">
      <c r="B32">
        <f t="shared" si="1"/>
        <v>5</v>
      </c>
      <c r="D32" t="s">
        <v>3</v>
      </c>
      <c r="H32" s="6"/>
      <c r="I32" s="6" t="s">
        <v>0</v>
      </c>
      <c r="J32" s="6"/>
      <c r="K32" s="6" t="s">
        <v>1</v>
      </c>
      <c r="L32" s="6"/>
      <c r="M32" s="6"/>
      <c r="O32" s="6"/>
      <c r="P32" s="6" t="s">
        <v>0</v>
      </c>
      <c r="Q32" s="6"/>
      <c r="R32" s="6" t="s">
        <v>55</v>
      </c>
      <c r="S32" t="s">
        <v>56</v>
      </c>
      <c r="T32" s="6" t="s">
        <v>57</v>
      </c>
      <c r="U32" s="6" t="s">
        <v>63</v>
      </c>
      <c r="V32" s="6" t="s">
        <v>65</v>
      </c>
      <c r="W32" s="6" t="s">
        <v>66</v>
      </c>
    </row>
    <row r="33" spans="2:23" x14ac:dyDescent="0.2">
      <c r="B33">
        <f t="shared" si="1"/>
        <v>6</v>
      </c>
      <c r="D33" t="s">
        <v>3</v>
      </c>
      <c r="H33" s="6"/>
      <c r="I33" s="6" t="s">
        <v>33</v>
      </c>
      <c r="J33" s="6"/>
      <c r="K33" s="6" t="s">
        <v>42</v>
      </c>
      <c r="L33" s="9" t="s">
        <v>45</v>
      </c>
      <c r="M33" s="9"/>
      <c r="O33" s="6"/>
      <c r="P33" s="6" t="s">
        <v>33</v>
      </c>
      <c r="Q33" s="6"/>
      <c r="R33" s="6">
        <v>12</v>
      </c>
      <c r="S33">
        <v>0</v>
      </c>
      <c r="T33">
        <v>0</v>
      </c>
      <c r="U33">
        <v>0</v>
      </c>
      <c r="V33">
        <v>46.2</v>
      </c>
      <c r="W33">
        <v>5</v>
      </c>
    </row>
    <row r="34" spans="2:23" x14ac:dyDescent="0.2">
      <c r="B34">
        <f t="shared" si="1"/>
        <v>7</v>
      </c>
      <c r="D34" t="s">
        <v>3</v>
      </c>
      <c r="H34" s="6"/>
      <c r="I34" s="6" t="s">
        <v>34</v>
      </c>
      <c r="J34" s="6"/>
      <c r="K34" s="6" t="s">
        <v>42</v>
      </c>
      <c r="L34" s="9" t="s">
        <v>45</v>
      </c>
      <c r="M34" s="9"/>
      <c r="O34" s="6"/>
      <c r="P34" s="6" t="s">
        <v>34</v>
      </c>
      <c r="Q34" s="6"/>
      <c r="R34" s="6">
        <v>8</v>
      </c>
      <c r="S34">
        <v>0</v>
      </c>
      <c r="T34">
        <v>0</v>
      </c>
      <c r="U34">
        <v>0</v>
      </c>
      <c r="V34">
        <v>45.3</v>
      </c>
      <c r="W34">
        <v>5.5</v>
      </c>
    </row>
    <row r="35" spans="2:23" x14ac:dyDescent="0.2">
      <c r="B35">
        <f t="shared" si="1"/>
        <v>8</v>
      </c>
      <c r="D35" t="s">
        <v>3</v>
      </c>
      <c r="H35" s="6"/>
      <c r="I35" s="6" t="s">
        <v>35</v>
      </c>
      <c r="J35" s="6"/>
      <c r="K35" s="6" t="s">
        <v>43</v>
      </c>
      <c r="L35" s="9" t="s">
        <v>45</v>
      </c>
      <c r="M35" s="9"/>
      <c r="O35" s="6"/>
      <c r="P35" s="6" t="s">
        <v>35</v>
      </c>
      <c r="Q35" s="6"/>
      <c r="R35" s="6">
        <v>10</v>
      </c>
      <c r="S35">
        <v>0</v>
      </c>
      <c r="T35">
        <v>0</v>
      </c>
      <c r="U35">
        <v>0</v>
      </c>
      <c r="V35">
        <v>45.7</v>
      </c>
      <c r="W35">
        <v>5.5</v>
      </c>
    </row>
    <row r="36" spans="2:23" x14ac:dyDescent="0.2">
      <c r="B36">
        <f t="shared" si="1"/>
        <v>9</v>
      </c>
      <c r="D36" t="s">
        <v>3</v>
      </c>
      <c r="H36" s="6"/>
      <c r="I36" s="6" t="s">
        <v>36</v>
      </c>
      <c r="J36" s="6"/>
      <c r="K36" s="6" t="s">
        <v>44</v>
      </c>
      <c r="L36" s="9" t="s">
        <v>45</v>
      </c>
      <c r="M36" s="9"/>
      <c r="O36" s="6"/>
      <c r="P36" s="6" t="s">
        <v>36</v>
      </c>
      <c r="Q36" s="6"/>
      <c r="R36" s="6">
        <v>7</v>
      </c>
      <c r="S36">
        <v>0</v>
      </c>
      <c r="T36">
        <v>0</v>
      </c>
      <c r="U36">
        <v>0</v>
      </c>
      <c r="V36">
        <v>46.4</v>
      </c>
      <c r="W36">
        <v>5</v>
      </c>
    </row>
    <row r="37" spans="2:23" x14ac:dyDescent="0.2">
      <c r="B37">
        <f t="shared" si="1"/>
        <v>10</v>
      </c>
      <c r="D37" t="s">
        <v>3</v>
      </c>
      <c r="H37" s="6"/>
      <c r="I37" s="6" t="s">
        <v>37</v>
      </c>
      <c r="J37" s="6"/>
      <c r="K37" s="6" t="s">
        <v>43</v>
      </c>
      <c r="L37" s="9" t="s">
        <v>45</v>
      </c>
      <c r="M37" s="9"/>
      <c r="O37" s="6"/>
      <c r="P37" s="6" t="s">
        <v>37</v>
      </c>
      <c r="Q37" s="6"/>
      <c r="R37" s="6">
        <v>7</v>
      </c>
      <c r="S37">
        <v>0</v>
      </c>
      <c r="T37">
        <v>0</v>
      </c>
      <c r="U37">
        <v>0</v>
      </c>
      <c r="V37">
        <v>46.8</v>
      </c>
      <c r="W37">
        <v>5.5</v>
      </c>
    </row>
    <row r="38" spans="2:23" x14ac:dyDescent="0.2">
      <c r="B38">
        <f t="shared" si="1"/>
        <v>11</v>
      </c>
      <c r="D38" t="s">
        <v>3</v>
      </c>
      <c r="H38" s="6"/>
      <c r="I38" s="6" t="s">
        <v>38</v>
      </c>
      <c r="J38" s="6"/>
      <c r="K38" s="6" t="s">
        <v>9</v>
      </c>
      <c r="L38" s="9" t="s">
        <v>45</v>
      </c>
      <c r="M38" s="9"/>
      <c r="O38" s="6"/>
      <c r="P38" s="6" t="s">
        <v>38</v>
      </c>
      <c r="Q38" s="6"/>
      <c r="R38" s="6">
        <v>7</v>
      </c>
      <c r="S38">
        <v>0</v>
      </c>
      <c r="T38">
        <v>0</v>
      </c>
      <c r="U38">
        <v>0</v>
      </c>
      <c r="V38">
        <v>46</v>
      </c>
      <c r="W38">
        <v>6</v>
      </c>
    </row>
    <row r="39" spans="2:23" x14ac:dyDescent="0.2">
      <c r="B39">
        <f t="shared" si="1"/>
        <v>12</v>
      </c>
      <c r="D39" t="s">
        <v>3</v>
      </c>
      <c r="H39" s="6"/>
      <c r="I39" s="6" t="s">
        <v>30</v>
      </c>
      <c r="J39" s="6"/>
      <c r="K39" s="6" t="s">
        <v>42</v>
      </c>
      <c r="L39" s="9" t="s">
        <v>45</v>
      </c>
      <c r="M39" s="9"/>
      <c r="O39" s="6"/>
      <c r="P39" s="6" t="s">
        <v>30</v>
      </c>
      <c r="Q39" s="6"/>
      <c r="R39" s="6">
        <v>13</v>
      </c>
      <c r="S39">
        <v>0</v>
      </c>
      <c r="T39">
        <v>0</v>
      </c>
      <c r="U39">
        <v>0</v>
      </c>
      <c r="V39">
        <v>45.5</v>
      </c>
      <c r="W39">
        <v>5</v>
      </c>
    </row>
    <row r="40" spans="2:23" x14ac:dyDescent="0.2">
      <c r="B40">
        <f t="shared" si="1"/>
        <v>13</v>
      </c>
      <c r="D40" t="s">
        <v>3</v>
      </c>
      <c r="H40" s="6"/>
      <c r="I40" s="6" t="s">
        <v>31</v>
      </c>
      <c r="J40" s="6"/>
      <c r="K40" s="6" t="s">
        <v>42</v>
      </c>
      <c r="L40" s="9" t="s">
        <v>45</v>
      </c>
      <c r="M40" s="9"/>
      <c r="O40" s="6"/>
      <c r="P40" s="6" t="s">
        <v>31</v>
      </c>
      <c r="Q40" s="6"/>
      <c r="R40" s="6">
        <v>8</v>
      </c>
      <c r="S40">
        <v>0</v>
      </c>
      <c r="T40">
        <v>0</v>
      </c>
      <c r="U40">
        <v>0</v>
      </c>
      <c r="V40">
        <v>45</v>
      </c>
      <c r="W40">
        <v>5.5</v>
      </c>
    </row>
    <row r="41" spans="2:23" x14ac:dyDescent="0.2">
      <c r="B41">
        <f t="shared" si="1"/>
        <v>14</v>
      </c>
      <c r="D41" t="s">
        <v>3</v>
      </c>
      <c r="H41" s="6"/>
      <c r="I41" s="6" t="s">
        <v>32</v>
      </c>
      <c r="J41" s="6"/>
      <c r="K41" s="7" t="s">
        <v>42</v>
      </c>
      <c r="L41" s="9" t="s">
        <v>45</v>
      </c>
      <c r="M41" s="9"/>
      <c r="O41" s="6"/>
      <c r="P41" s="6" t="s">
        <v>32</v>
      </c>
      <c r="Q41" s="6"/>
      <c r="R41" s="7">
        <v>8</v>
      </c>
      <c r="S41">
        <v>0</v>
      </c>
      <c r="T41">
        <v>0</v>
      </c>
      <c r="U41">
        <v>0</v>
      </c>
      <c r="V41">
        <v>44.2</v>
      </c>
      <c r="W41">
        <v>5</v>
      </c>
    </row>
    <row r="42" spans="2:23" x14ac:dyDescent="0.2">
      <c r="B42">
        <f t="shared" si="1"/>
        <v>15</v>
      </c>
      <c r="D42" t="s">
        <v>3</v>
      </c>
      <c r="H42" s="6"/>
      <c r="I42" s="6" t="s">
        <v>39</v>
      </c>
      <c r="J42" s="6"/>
      <c r="K42" s="7" t="s">
        <v>42</v>
      </c>
      <c r="L42" s="9" t="s">
        <v>45</v>
      </c>
      <c r="M42" s="9"/>
      <c r="O42" s="6"/>
      <c r="P42" s="6" t="s">
        <v>39</v>
      </c>
      <c r="Q42" s="6"/>
      <c r="R42" s="7">
        <v>5</v>
      </c>
      <c r="S42">
        <v>0</v>
      </c>
      <c r="T42">
        <v>0</v>
      </c>
      <c r="U42">
        <v>0</v>
      </c>
    </row>
    <row r="43" spans="2:23" x14ac:dyDescent="0.2">
      <c r="B43">
        <f t="shared" si="1"/>
        <v>16</v>
      </c>
      <c r="D43" t="s">
        <v>3</v>
      </c>
      <c r="H43" s="6"/>
      <c r="I43" s="6" t="s">
        <v>40</v>
      </c>
      <c r="J43" s="6"/>
      <c r="K43" s="7" t="s">
        <v>42</v>
      </c>
      <c r="L43" s="9" t="s">
        <v>45</v>
      </c>
      <c r="M43" s="9"/>
      <c r="O43" s="6"/>
      <c r="P43" s="6" t="s">
        <v>40</v>
      </c>
      <c r="Q43" s="6"/>
      <c r="R43" s="7">
        <v>6</v>
      </c>
      <c r="S43">
        <v>0</v>
      </c>
      <c r="T43">
        <v>0</v>
      </c>
      <c r="U43">
        <v>0</v>
      </c>
    </row>
    <row r="44" spans="2:23" x14ac:dyDescent="0.2">
      <c r="B44">
        <f t="shared" si="1"/>
        <v>17</v>
      </c>
      <c r="D44" t="s">
        <v>3</v>
      </c>
      <c r="H44" s="6"/>
      <c r="I44" s="6" t="s">
        <v>41</v>
      </c>
      <c r="J44" s="6"/>
      <c r="K44" s="7" t="s">
        <v>42</v>
      </c>
      <c r="L44" s="9" t="s">
        <v>45</v>
      </c>
      <c r="M44" s="9"/>
      <c r="O44" s="6"/>
      <c r="P44" s="6" t="s">
        <v>41</v>
      </c>
      <c r="Q44" s="6"/>
      <c r="R44" s="7">
        <v>5</v>
      </c>
      <c r="S44">
        <v>0</v>
      </c>
      <c r="T44">
        <v>0</v>
      </c>
      <c r="U44">
        <v>0</v>
      </c>
    </row>
    <row r="45" spans="2:23" x14ac:dyDescent="0.2">
      <c r="B45">
        <f t="shared" si="1"/>
        <v>18</v>
      </c>
      <c r="D45" t="s">
        <v>3</v>
      </c>
    </row>
    <row r="46" spans="2:23" x14ac:dyDescent="0.2">
      <c r="B46">
        <f t="shared" si="1"/>
        <v>19</v>
      </c>
      <c r="D46" t="s">
        <v>3</v>
      </c>
      <c r="H46" s="5">
        <v>46177</v>
      </c>
      <c r="I46" s="6"/>
      <c r="J46" s="6"/>
      <c r="K46" s="6"/>
      <c r="L46" s="6"/>
      <c r="M46" s="6"/>
      <c r="O46" s="5">
        <v>46207</v>
      </c>
      <c r="P46" s="6"/>
      <c r="Q46" s="6"/>
      <c r="R46" s="6"/>
    </row>
    <row r="47" spans="2:23" x14ac:dyDescent="0.2">
      <c r="B47">
        <f t="shared" si="1"/>
        <v>20</v>
      </c>
      <c r="D47" t="s">
        <v>3</v>
      </c>
      <c r="H47" s="6"/>
      <c r="I47" s="6" t="s">
        <v>0</v>
      </c>
      <c r="J47" s="6"/>
      <c r="K47" s="6" t="s">
        <v>1</v>
      </c>
      <c r="L47" s="6"/>
      <c r="M47" s="6"/>
      <c r="O47" s="6"/>
      <c r="P47" s="6" t="s">
        <v>0</v>
      </c>
      <c r="Q47" s="6"/>
      <c r="R47" s="6" t="s">
        <v>55</v>
      </c>
      <c r="S47" t="s">
        <v>56</v>
      </c>
      <c r="T47" s="6" t="s">
        <v>57</v>
      </c>
      <c r="U47" s="6" t="s">
        <v>63</v>
      </c>
      <c r="V47" s="6" t="s">
        <v>65</v>
      </c>
      <c r="W47" s="6" t="s">
        <v>66</v>
      </c>
    </row>
    <row r="48" spans="2:23" x14ac:dyDescent="0.2">
      <c r="H48" s="6"/>
      <c r="I48" s="6" t="s">
        <v>33</v>
      </c>
      <c r="J48" s="6"/>
      <c r="K48" s="6" t="s">
        <v>44</v>
      </c>
      <c r="L48" s="9" t="s">
        <v>49</v>
      </c>
      <c r="M48" s="9"/>
      <c r="O48" s="6"/>
      <c r="P48" s="6" t="s">
        <v>33</v>
      </c>
      <c r="Q48" s="6"/>
      <c r="R48" s="6">
        <v>10</v>
      </c>
      <c r="S48">
        <v>0</v>
      </c>
      <c r="T48">
        <v>0</v>
      </c>
      <c r="U48">
        <v>0</v>
      </c>
      <c r="V48">
        <v>46.5</v>
      </c>
      <c r="W48">
        <v>5</v>
      </c>
    </row>
    <row r="49" spans="1:23" x14ac:dyDescent="0.2">
      <c r="A49" s="1">
        <v>46152</v>
      </c>
      <c r="H49" s="6"/>
      <c r="I49" s="6" t="s">
        <v>34</v>
      </c>
      <c r="J49" s="6"/>
      <c r="K49" s="6" t="s">
        <v>44</v>
      </c>
      <c r="L49" s="9" t="s">
        <v>49</v>
      </c>
      <c r="M49" s="9"/>
      <c r="O49" s="6"/>
      <c r="P49" s="6" t="s">
        <v>34</v>
      </c>
      <c r="Q49" s="6"/>
      <c r="R49" s="6">
        <v>8</v>
      </c>
      <c r="S49">
        <v>0</v>
      </c>
      <c r="T49">
        <v>0</v>
      </c>
      <c r="U49">
        <v>0</v>
      </c>
      <c r="V49">
        <v>46</v>
      </c>
      <c r="W49">
        <v>5.5</v>
      </c>
    </row>
    <row r="50" spans="1:23" x14ac:dyDescent="0.2">
      <c r="B50" t="s">
        <v>0</v>
      </c>
      <c r="D50" t="s">
        <v>1</v>
      </c>
      <c r="H50" s="6"/>
      <c r="I50" s="6" t="s">
        <v>35</v>
      </c>
      <c r="J50" s="6"/>
      <c r="K50" s="6" t="s">
        <v>44</v>
      </c>
      <c r="L50" s="9" t="s">
        <v>49</v>
      </c>
      <c r="M50" s="9"/>
      <c r="O50" s="6"/>
      <c r="P50" s="6" t="s">
        <v>35</v>
      </c>
      <c r="Q50" s="6"/>
      <c r="R50" s="6">
        <v>10</v>
      </c>
      <c r="S50">
        <v>0</v>
      </c>
      <c r="T50">
        <v>0</v>
      </c>
      <c r="U50">
        <v>0</v>
      </c>
      <c r="V50">
        <v>46.5</v>
      </c>
      <c r="W50">
        <v>5.5</v>
      </c>
    </row>
    <row r="51" spans="1:23" x14ac:dyDescent="0.2">
      <c r="B51">
        <v>1</v>
      </c>
      <c r="D51" t="s">
        <v>3</v>
      </c>
      <c r="H51" s="6"/>
      <c r="I51" s="6" t="s">
        <v>36</v>
      </c>
      <c r="J51" s="6"/>
      <c r="K51" s="6" t="s">
        <v>44</v>
      </c>
      <c r="L51" s="9" t="s">
        <v>49</v>
      </c>
      <c r="M51" s="9"/>
      <c r="O51" s="6"/>
      <c r="P51" s="6" t="s">
        <v>36</v>
      </c>
      <c r="Q51" s="6"/>
      <c r="R51" s="6">
        <v>7</v>
      </c>
      <c r="S51">
        <v>0</v>
      </c>
      <c r="T51">
        <v>0</v>
      </c>
      <c r="U51">
        <v>0</v>
      </c>
      <c r="V51">
        <v>47</v>
      </c>
      <c r="W51">
        <v>5</v>
      </c>
    </row>
    <row r="52" spans="1:23" x14ac:dyDescent="0.2">
      <c r="B52">
        <f>B51+1</f>
        <v>2</v>
      </c>
      <c r="D52" t="s">
        <v>3</v>
      </c>
      <c r="H52" s="6"/>
      <c r="I52" s="6" t="s">
        <v>37</v>
      </c>
      <c r="J52" s="6"/>
      <c r="K52" s="6" t="s">
        <v>43</v>
      </c>
      <c r="L52" s="9" t="s">
        <v>49</v>
      </c>
      <c r="M52" s="9"/>
      <c r="O52" s="6"/>
      <c r="P52" s="6" t="s">
        <v>37</v>
      </c>
      <c r="Q52" s="6"/>
      <c r="R52" s="6">
        <v>7</v>
      </c>
      <c r="S52">
        <v>0</v>
      </c>
      <c r="T52">
        <v>0</v>
      </c>
      <c r="U52">
        <v>0</v>
      </c>
      <c r="V52">
        <v>47.5</v>
      </c>
      <c r="W52">
        <v>5.5</v>
      </c>
    </row>
    <row r="53" spans="1:23" x14ac:dyDescent="0.2">
      <c r="B53">
        <f t="shared" ref="B53:B70" si="2">B52+1</f>
        <v>3</v>
      </c>
      <c r="D53" t="s">
        <v>3</v>
      </c>
      <c r="H53" s="6"/>
      <c r="I53" s="6" t="s">
        <v>38</v>
      </c>
      <c r="J53" s="6"/>
      <c r="K53" s="6" t="s">
        <v>42</v>
      </c>
      <c r="L53" s="9" t="s">
        <v>49</v>
      </c>
      <c r="M53" s="9"/>
      <c r="O53" s="6"/>
      <c r="P53" s="6" t="s">
        <v>38</v>
      </c>
      <c r="Q53" s="6"/>
      <c r="R53" s="6">
        <v>7</v>
      </c>
      <c r="S53">
        <v>0</v>
      </c>
      <c r="T53">
        <v>0</v>
      </c>
      <c r="U53">
        <v>0</v>
      </c>
      <c r="V53">
        <v>47</v>
      </c>
      <c r="W53">
        <v>6</v>
      </c>
    </row>
    <row r="54" spans="1:23" x14ac:dyDescent="0.2">
      <c r="B54">
        <f t="shared" si="2"/>
        <v>4</v>
      </c>
      <c r="D54" t="s">
        <v>3</v>
      </c>
      <c r="H54" s="6"/>
      <c r="I54" s="6" t="s">
        <v>30</v>
      </c>
      <c r="J54" s="6"/>
      <c r="K54" s="6" t="s">
        <v>42</v>
      </c>
      <c r="L54" s="9" t="s">
        <v>49</v>
      </c>
      <c r="M54" s="9"/>
      <c r="O54" s="6"/>
      <c r="P54" s="6" t="s">
        <v>30</v>
      </c>
      <c r="Q54" s="6"/>
      <c r="R54" s="6">
        <v>11</v>
      </c>
      <c r="S54">
        <v>0</v>
      </c>
      <c r="T54">
        <v>0</v>
      </c>
      <c r="U54">
        <v>0</v>
      </c>
      <c r="V54">
        <v>46.5</v>
      </c>
      <c r="W54">
        <v>5</v>
      </c>
    </row>
    <row r="55" spans="1:23" x14ac:dyDescent="0.2">
      <c r="B55">
        <f t="shared" si="2"/>
        <v>5</v>
      </c>
      <c r="D55" t="s">
        <v>3</v>
      </c>
      <c r="H55" s="6"/>
      <c r="I55" s="6" t="s">
        <v>31</v>
      </c>
      <c r="J55" s="6"/>
      <c r="K55" s="6" t="s">
        <v>9</v>
      </c>
      <c r="L55" s="9" t="s">
        <v>49</v>
      </c>
      <c r="M55" s="9"/>
      <c r="O55" s="6"/>
      <c r="P55" s="6" t="s">
        <v>31</v>
      </c>
      <c r="Q55" s="6"/>
      <c r="R55" s="6">
        <v>8</v>
      </c>
      <c r="S55">
        <v>0</v>
      </c>
      <c r="T55">
        <v>0</v>
      </c>
      <c r="U55">
        <v>0</v>
      </c>
      <c r="V55">
        <v>46</v>
      </c>
      <c r="W55">
        <v>5.5</v>
      </c>
    </row>
    <row r="56" spans="1:23" x14ac:dyDescent="0.2">
      <c r="B56">
        <f t="shared" si="2"/>
        <v>6</v>
      </c>
      <c r="D56" t="s">
        <v>3</v>
      </c>
      <c r="H56" s="6"/>
      <c r="I56" s="6" t="s">
        <v>32</v>
      </c>
      <c r="J56" s="6"/>
      <c r="K56" s="7" t="s">
        <v>44</v>
      </c>
      <c r="L56" s="9" t="s">
        <v>49</v>
      </c>
      <c r="M56" s="9"/>
      <c r="O56" s="6"/>
      <c r="P56" s="6" t="s">
        <v>32</v>
      </c>
      <c r="Q56" s="6"/>
      <c r="R56" s="7">
        <v>8</v>
      </c>
      <c r="S56">
        <v>0</v>
      </c>
      <c r="T56">
        <v>0</v>
      </c>
      <c r="U56">
        <v>0</v>
      </c>
      <c r="V56">
        <v>46</v>
      </c>
      <c r="W56">
        <v>5</v>
      </c>
    </row>
    <row r="57" spans="1:23" x14ac:dyDescent="0.2">
      <c r="B57">
        <f t="shared" si="2"/>
        <v>7</v>
      </c>
      <c r="D57" t="s">
        <v>3</v>
      </c>
      <c r="H57" s="6"/>
      <c r="I57" s="6" t="s">
        <v>39</v>
      </c>
      <c r="J57" s="6"/>
      <c r="K57" s="7" t="s">
        <v>42</v>
      </c>
      <c r="L57" s="9" t="s">
        <v>49</v>
      </c>
      <c r="M57" s="9"/>
      <c r="O57" s="6"/>
      <c r="P57" s="6" t="s">
        <v>39</v>
      </c>
      <c r="Q57" s="6"/>
      <c r="R57" s="7">
        <v>5</v>
      </c>
      <c r="S57">
        <v>0</v>
      </c>
      <c r="T57">
        <v>0</v>
      </c>
      <c r="U57">
        <v>0</v>
      </c>
    </row>
    <row r="58" spans="1:23" x14ac:dyDescent="0.2">
      <c r="B58">
        <f t="shared" si="2"/>
        <v>8</v>
      </c>
      <c r="D58" t="s">
        <v>3</v>
      </c>
      <c r="H58" s="6"/>
      <c r="I58" s="6" t="s">
        <v>40</v>
      </c>
      <c r="J58" s="6"/>
      <c r="K58" s="7" t="s">
        <v>42</v>
      </c>
      <c r="L58" s="9" t="s">
        <v>49</v>
      </c>
      <c r="M58" s="9"/>
      <c r="O58" s="6"/>
      <c r="P58" s="6" t="s">
        <v>40</v>
      </c>
      <c r="Q58" s="6"/>
      <c r="R58" s="7">
        <v>6</v>
      </c>
      <c r="S58">
        <v>0</v>
      </c>
      <c r="T58">
        <v>0</v>
      </c>
      <c r="U58">
        <v>0</v>
      </c>
    </row>
    <row r="59" spans="1:23" x14ac:dyDescent="0.2">
      <c r="B59">
        <f t="shared" si="2"/>
        <v>9</v>
      </c>
      <c r="D59" t="s">
        <v>3</v>
      </c>
      <c r="H59" s="6"/>
      <c r="I59" s="6" t="s">
        <v>41</v>
      </c>
      <c r="J59" s="6"/>
      <c r="K59" s="7" t="s">
        <v>42</v>
      </c>
      <c r="L59" s="9" t="s">
        <v>49</v>
      </c>
      <c r="M59" s="9"/>
      <c r="O59" s="6"/>
      <c r="P59" s="6" t="s">
        <v>41</v>
      </c>
      <c r="Q59" s="6"/>
      <c r="R59" s="7">
        <v>5</v>
      </c>
      <c r="S59">
        <v>0</v>
      </c>
      <c r="T59">
        <v>0</v>
      </c>
      <c r="U59">
        <v>0</v>
      </c>
    </row>
    <row r="60" spans="1:23" x14ac:dyDescent="0.2">
      <c r="B60">
        <f t="shared" si="2"/>
        <v>10</v>
      </c>
      <c r="D60" t="s">
        <v>3</v>
      </c>
    </row>
    <row r="61" spans="1:23" x14ac:dyDescent="0.2">
      <c r="B61">
        <f t="shared" si="2"/>
        <v>11</v>
      </c>
      <c r="D61" t="s">
        <v>3</v>
      </c>
      <c r="H61" s="5">
        <v>46178</v>
      </c>
      <c r="I61" s="6"/>
      <c r="J61" s="6"/>
      <c r="K61" s="6"/>
      <c r="L61" s="6"/>
      <c r="M61" s="6"/>
      <c r="O61" s="5">
        <v>46208</v>
      </c>
      <c r="P61" s="6"/>
      <c r="Q61" s="6"/>
      <c r="R61" s="6"/>
    </row>
    <row r="62" spans="1:23" x14ac:dyDescent="0.2">
      <c r="B62">
        <f t="shared" si="2"/>
        <v>12</v>
      </c>
      <c r="D62" t="s">
        <v>3</v>
      </c>
      <c r="H62" s="6"/>
      <c r="I62" s="6" t="s">
        <v>0</v>
      </c>
      <c r="J62" s="6"/>
      <c r="K62" s="6" t="s">
        <v>1</v>
      </c>
      <c r="L62" s="6"/>
      <c r="M62" s="6"/>
      <c r="O62" s="6"/>
      <c r="P62" s="6" t="s">
        <v>0</v>
      </c>
      <c r="Q62" s="6"/>
      <c r="R62" s="6" t="s">
        <v>55</v>
      </c>
      <c r="S62" t="s">
        <v>56</v>
      </c>
      <c r="T62" s="6" t="s">
        <v>57</v>
      </c>
      <c r="U62" s="6" t="s">
        <v>63</v>
      </c>
      <c r="V62" s="6" t="s">
        <v>65</v>
      </c>
      <c r="W62" s="6" t="s">
        <v>66</v>
      </c>
    </row>
    <row r="63" spans="1:23" x14ac:dyDescent="0.2">
      <c r="B63">
        <f t="shared" si="2"/>
        <v>13</v>
      </c>
      <c r="D63" t="s">
        <v>3</v>
      </c>
      <c r="H63" s="6"/>
      <c r="I63" s="6" t="s">
        <v>33</v>
      </c>
      <c r="J63" s="6"/>
      <c r="K63" s="6" t="s">
        <v>44</v>
      </c>
      <c r="L63" s="9" t="s">
        <v>50</v>
      </c>
      <c r="M63" s="9"/>
      <c r="O63" s="6"/>
      <c r="P63" s="6" t="s">
        <v>33</v>
      </c>
      <c r="Q63" s="6"/>
      <c r="R63" s="6">
        <v>10</v>
      </c>
      <c r="S63">
        <v>0</v>
      </c>
      <c r="T63">
        <v>0</v>
      </c>
      <c r="U63">
        <v>0</v>
      </c>
      <c r="V63">
        <v>46.5</v>
      </c>
      <c r="W63">
        <v>5</v>
      </c>
    </row>
    <row r="64" spans="1:23" x14ac:dyDescent="0.2">
      <c r="B64">
        <f t="shared" si="2"/>
        <v>14</v>
      </c>
      <c r="D64" t="s">
        <v>3</v>
      </c>
      <c r="H64" s="6"/>
      <c r="I64" s="6" t="s">
        <v>34</v>
      </c>
      <c r="J64" s="6"/>
      <c r="K64" s="6" t="s">
        <v>44</v>
      </c>
      <c r="L64" s="9" t="s">
        <v>50</v>
      </c>
      <c r="M64" s="9"/>
      <c r="O64" s="6"/>
      <c r="P64" s="6" t="s">
        <v>34</v>
      </c>
      <c r="Q64" s="6"/>
      <c r="R64" s="6">
        <v>8</v>
      </c>
      <c r="S64">
        <v>0</v>
      </c>
      <c r="T64">
        <v>0</v>
      </c>
      <c r="U64">
        <v>0</v>
      </c>
      <c r="V64">
        <v>46</v>
      </c>
      <c r="W64">
        <v>5.5</v>
      </c>
    </row>
    <row r="65" spans="1:23" x14ac:dyDescent="0.2">
      <c r="B65">
        <f t="shared" si="2"/>
        <v>15</v>
      </c>
      <c r="D65" t="s">
        <v>3</v>
      </c>
      <c r="H65" s="6"/>
      <c r="I65" s="6" t="s">
        <v>35</v>
      </c>
      <c r="J65" s="6"/>
      <c r="K65" s="6" t="s">
        <v>44</v>
      </c>
      <c r="L65" s="9" t="s">
        <v>50</v>
      </c>
      <c r="M65" s="9"/>
      <c r="O65" s="6"/>
      <c r="P65" s="6" t="s">
        <v>35</v>
      </c>
      <c r="Q65" s="6"/>
      <c r="R65" s="6">
        <v>10</v>
      </c>
      <c r="S65">
        <v>0</v>
      </c>
      <c r="T65">
        <v>0</v>
      </c>
      <c r="U65">
        <v>0</v>
      </c>
      <c r="V65">
        <v>46.5</v>
      </c>
      <c r="W65">
        <v>5.5</v>
      </c>
    </row>
    <row r="66" spans="1:23" x14ac:dyDescent="0.2">
      <c r="B66">
        <f t="shared" si="2"/>
        <v>16</v>
      </c>
      <c r="D66" t="s">
        <v>3</v>
      </c>
      <c r="H66" s="6"/>
      <c r="I66" s="6" t="s">
        <v>36</v>
      </c>
      <c r="J66" s="6"/>
      <c r="K66" s="6" t="s">
        <v>44</v>
      </c>
      <c r="L66" s="9" t="s">
        <v>50</v>
      </c>
      <c r="M66" s="9"/>
      <c r="O66" s="6"/>
      <c r="P66" s="6" t="s">
        <v>36</v>
      </c>
      <c r="Q66" s="6"/>
      <c r="R66" s="6">
        <v>7</v>
      </c>
      <c r="S66">
        <v>0</v>
      </c>
      <c r="T66">
        <v>0</v>
      </c>
      <c r="U66">
        <v>0</v>
      </c>
      <c r="V66">
        <v>47</v>
      </c>
      <c r="W66">
        <v>5</v>
      </c>
    </row>
    <row r="67" spans="1:23" x14ac:dyDescent="0.2">
      <c r="B67">
        <f t="shared" si="2"/>
        <v>17</v>
      </c>
      <c r="D67" t="s">
        <v>3</v>
      </c>
      <c r="H67" s="6"/>
      <c r="I67" s="6" t="s">
        <v>37</v>
      </c>
      <c r="J67" s="6"/>
      <c r="K67" s="6" t="s">
        <v>43</v>
      </c>
      <c r="L67" s="9" t="s">
        <v>50</v>
      </c>
      <c r="M67" s="9"/>
      <c r="O67" s="6"/>
      <c r="P67" s="6" t="s">
        <v>37</v>
      </c>
      <c r="Q67" s="6"/>
      <c r="R67" s="6">
        <v>7</v>
      </c>
      <c r="S67">
        <v>0</v>
      </c>
      <c r="T67">
        <v>0</v>
      </c>
      <c r="U67">
        <v>0</v>
      </c>
      <c r="V67">
        <v>47.5</v>
      </c>
      <c r="W67">
        <v>5.5</v>
      </c>
    </row>
    <row r="68" spans="1:23" x14ac:dyDescent="0.2">
      <c r="B68">
        <f t="shared" si="2"/>
        <v>18</v>
      </c>
      <c r="D68" t="s">
        <v>3</v>
      </c>
      <c r="H68" s="6"/>
      <c r="I68" s="6" t="s">
        <v>38</v>
      </c>
      <c r="J68" s="6"/>
      <c r="K68" s="6" t="s">
        <v>42</v>
      </c>
      <c r="L68" s="9" t="s">
        <v>50</v>
      </c>
      <c r="M68" s="9"/>
      <c r="O68" s="6"/>
      <c r="P68" s="6" t="s">
        <v>38</v>
      </c>
      <c r="Q68" s="6"/>
      <c r="R68" s="6">
        <v>7</v>
      </c>
      <c r="S68">
        <v>0</v>
      </c>
      <c r="T68">
        <v>0</v>
      </c>
      <c r="U68">
        <v>0</v>
      </c>
      <c r="V68">
        <v>47</v>
      </c>
      <c r="W68">
        <v>6</v>
      </c>
    </row>
    <row r="69" spans="1:23" x14ac:dyDescent="0.2">
      <c r="B69">
        <f t="shared" si="2"/>
        <v>19</v>
      </c>
      <c r="D69" t="s">
        <v>3</v>
      </c>
      <c r="H69" s="6"/>
      <c r="I69" s="6" t="s">
        <v>30</v>
      </c>
      <c r="J69" s="6"/>
      <c r="K69" s="6" t="s">
        <v>42</v>
      </c>
      <c r="L69" s="9" t="s">
        <v>50</v>
      </c>
      <c r="M69" s="9"/>
      <c r="O69" s="6"/>
      <c r="P69" s="6" t="s">
        <v>30</v>
      </c>
      <c r="Q69" s="6"/>
      <c r="R69" s="6">
        <v>11</v>
      </c>
      <c r="S69">
        <v>0</v>
      </c>
      <c r="T69">
        <v>0</v>
      </c>
      <c r="U69">
        <v>0</v>
      </c>
      <c r="V69">
        <v>46.5</v>
      </c>
      <c r="W69">
        <v>5</v>
      </c>
    </row>
    <row r="70" spans="1:23" x14ac:dyDescent="0.2">
      <c r="B70">
        <f t="shared" si="2"/>
        <v>20</v>
      </c>
      <c r="D70" t="s">
        <v>3</v>
      </c>
      <c r="H70" s="6"/>
      <c r="I70" s="6" t="s">
        <v>31</v>
      </c>
      <c r="J70" s="6"/>
      <c r="K70" s="6" t="s">
        <v>9</v>
      </c>
      <c r="L70" s="9" t="s">
        <v>50</v>
      </c>
      <c r="M70" s="9"/>
      <c r="O70" s="6"/>
      <c r="P70" s="6" t="s">
        <v>31</v>
      </c>
      <c r="Q70" s="6"/>
      <c r="R70" s="6">
        <v>8</v>
      </c>
      <c r="S70">
        <v>0</v>
      </c>
      <c r="T70">
        <v>0</v>
      </c>
      <c r="U70">
        <v>0</v>
      </c>
      <c r="V70">
        <v>46</v>
      </c>
      <c r="W70">
        <v>5.5</v>
      </c>
    </row>
    <row r="71" spans="1:23" x14ac:dyDescent="0.2">
      <c r="A71" s="1">
        <v>46153</v>
      </c>
      <c r="H71" s="6"/>
      <c r="I71" s="6" t="s">
        <v>32</v>
      </c>
      <c r="J71" s="6"/>
      <c r="K71" s="7" t="s">
        <v>44</v>
      </c>
      <c r="L71" s="9" t="s">
        <v>50</v>
      </c>
      <c r="M71" s="9"/>
      <c r="O71" s="6"/>
      <c r="P71" s="6" t="s">
        <v>32</v>
      </c>
      <c r="Q71" s="6"/>
      <c r="R71" s="7">
        <v>8</v>
      </c>
      <c r="S71">
        <v>0</v>
      </c>
      <c r="T71">
        <v>0</v>
      </c>
      <c r="U71">
        <v>0</v>
      </c>
      <c r="V71">
        <v>46</v>
      </c>
      <c r="W71">
        <v>5</v>
      </c>
    </row>
    <row r="72" spans="1:23" x14ac:dyDescent="0.2">
      <c r="B72" t="s">
        <v>0</v>
      </c>
      <c r="D72" t="s">
        <v>1</v>
      </c>
      <c r="H72" s="6"/>
      <c r="I72" s="6" t="s">
        <v>39</v>
      </c>
      <c r="J72" s="6"/>
      <c r="K72" s="7" t="s">
        <v>42</v>
      </c>
      <c r="L72" s="9" t="s">
        <v>50</v>
      </c>
      <c r="M72" s="9"/>
      <c r="O72" s="6"/>
      <c r="P72" s="6" t="s">
        <v>39</v>
      </c>
      <c r="Q72" s="6"/>
      <c r="R72" s="7">
        <v>5</v>
      </c>
      <c r="S72">
        <v>0</v>
      </c>
      <c r="T72">
        <v>0</v>
      </c>
      <c r="U72">
        <v>0</v>
      </c>
    </row>
    <row r="73" spans="1:23" x14ac:dyDescent="0.2">
      <c r="B73">
        <v>1</v>
      </c>
      <c r="D73" t="s">
        <v>3</v>
      </c>
      <c r="H73" s="6"/>
      <c r="I73" s="6" t="s">
        <v>40</v>
      </c>
      <c r="J73" s="6"/>
      <c r="K73" s="7" t="s">
        <v>42</v>
      </c>
      <c r="L73" s="9" t="s">
        <v>50</v>
      </c>
      <c r="M73" s="9"/>
      <c r="O73" s="6"/>
      <c r="P73" s="6" t="s">
        <v>40</v>
      </c>
      <c r="Q73" s="6"/>
      <c r="R73" s="7">
        <v>6</v>
      </c>
      <c r="S73">
        <v>0</v>
      </c>
      <c r="T73">
        <v>0</v>
      </c>
      <c r="U73">
        <v>0</v>
      </c>
    </row>
    <row r="74" spans="1:23" x14ac:dyDescent="0.2">
      <c r="B74">
        <f>B73+1</f>
        <v>2</v>
      </c>
      <c r="D74" t="s">
        <v>3</v>
      </c>
      <c r="H74" s="6"/>
      <c r="I74" s="6" t="s">
        <v>41</v>
      </c>
      <c r="J74" s="6"/>
      <c r="K74" s="7" t="s">
        <v>42</v>
      </c>
      <c r="L74" s="9" t="s">
        <v>50</v>
      </c>
      <c r="M74" s="9"/>
      <c r="O74" s="6"/>
      <c r="P74" s="6" t="s">
        <v>41</v>
      </c>
      <c r="Q74" s="6"/>
      <c r="R74" s="7">
        <v>5</v>
      </c>
      <c r="S74">
        <v>0</v>
      </c>
      <c r="T74">
        <v>0</v>
      </c>
      <c r="U74">
        <v>0</v>
      </c>
    </row>
    <row r="75" spans="1:23" x14ac:dyDescent="0.2">
      <c r="B75">
        <f t="shared" ref="B75:B92" si="3">B74+1</f>
        <v>3</v>
      </c>
      <c r="D75" t="s">
        <v>3</v>
      </c>
    </row>
    <row r="76" spans="1:23" x14ac:dyDescent="0.2">
      <c r="B76">
        <f t="shared" si="3"/>
        <v>4</v>
      </c>
      <c r="D76" t="s">
        <v>3</v>
      </c>
      <c r="H76" s="5">
        <v>46179</v>
      </c>
      <c r="I76" s="6"/>
      <c r="J76" s="6"/>
      <c r="K76" s="6"/>
      <c r="L76" s="6"/>
      <c r="M76" s="6"/>
      <c r="O76" s="5">
        <v>46209</v>
      </c>
      <c r="P76" s="6"/>
      <c r="Q76" s="6"/>
      <c r="R76" s="6"/>
    </row>
    <row r="77" spans="1:23" x14ac:dyDescent="0.2">
      <c r="B77">
        <f t="shared" si="3"/>
        <v>5</v>
      </c>
      <c r="D77" t="s">
        <v>3</v>
      </c>
      <c r="H77" s="6"/>
      <c r="I77" s="6" t="s">
        <v>0</v>
      </c>
      <c r="J77" s="6"/>
      <c r="K77" s="6" t="s">
        <v>1</v>
      </c>
      <c r="L77" s="6"/>
      <c r="M77" s="6"/>
      <c r="O77" s="6"/>
      <c r="P77" s="6" t="s">
        <v>0</v>
      </c>
      <c r="Q77" s="6"/>
      <c r="R77" s="6" t="s">
        <v>55</v>
      </c>
      <c r="S77" t="s">
        <v>56</v>
      </c>
      <c r="T77" s="6" t="s">
        <v>57</v>
      </c>
      <c r="U77" s="6" t="s">
        <v>63</v>
      </c>
      <c r="V77" s="6" t="s">
        <v>65</v>
      </c>
      <c r="W77" s="6" t="s">
        <v>66</v>
      </c>
    </row>
    <row r="78" spans="1:23" x14ac:dyDescent="0.2">
      <c r="B78">
        <f t="shared" si="3"/>
        <v>6</v>
      </c>
      <c r="D78" t="s">
        <v>3</v>
      </c>
      <c r="H78" s="6"/>
      <c r="I78" s="6" t="s">
        <v>33</v>
      </c>
      <c r="J78" s="6"/>
      <c r="K78" s="6" t="s">
        <v>44</v>
      </c>
      <c r="L78" s="9"/>
      <c r="M78" s="9"/>
      <c r="O78" s="6"/>
      <c r="P78" s="6" t="s">
        <v>33</v>
      </c>
      <c r="Q78" s="6"/>
      <c r="R78" s="6">
        <v>9</v>
      </c>
      <c r="S78">
        <v>0</v>
      </c>
      <c r="T78">
        <v>0</v>
      </c>
      <c r="U78">
        <v>0</v>
      </c>
      <c r="V78">
        <v>47</v>
      </c>
      <c r="W78">
        <v>5</v>
      </c>
    </row>
    <row r="79" spans="1:23" x14ac:dyDescent="0.2">
      <c r="B79">
        <f t="shared" si="3"/>
        <v>7</v>
      </c>
      <c r="D79" t="s">
        <v>3</v>
      </c>
      <c r="H79" s="6"/>
      <c r="I79" s="6" t="s">
        <v>34</v>
      </c>
      <c r="J79" s="6"/>
      <c r="K79" s="6" t="s">
        <v>44</v>
      </c>
      <c r="L79" s="9"/>
      <c r="M79" s="9"/>
      <c r="O79" s="6"/>
      <c r="P79" s="6" t="s">
        <v>34</v>
      </c>
      <c r="Q79" s="6"/>
      <c r="R79" s="6">
        <v>8</v>
      </c>
      <c r="S79">
        <v>0</v>
      </c>
      <c r="T79">
        <v>0</v>
      </c>
      <c r="U79">
        <v>0</v>
      </c>
      <c r="V79">
        <v>47</v>
      </c>
      <c r="W79">
        <v>5.5</v>
      </c>
    </row>
    <row r="80" spans="1:23" x14ac:dyDescent="0.2">
      <c r="B80">
        <f t="shared" si="3"/>
        <v>8</v>
      </c>
      <c r="D80" t="s">
        <v>3</v>
      </c>
      <c r="H80" s="6"/>
      <c r="I80" s="6" t="s">
        <v>35</v>
      </c>
      <c r="J80" s="6"/>
      <c r="K80" s="6" t="s">
        <v>44</v>
      </c>
      <c r="L80" s="9"/>
      <c r="M80" s="9"/>
      <c r="O80" s="6"/>
      <c r="P80" s="6" t="s">
        <v>35</v>
      </c>
      <c r="Q80" s="6"/>
      <c r="R80" s="6">
        <v>10</v>
      </c>
      <c r="S80">
        <v>0</v>
      </c>
      <c r="T80">
        <v>0</v>
      </c>
      <c r="U80">
        <v>0</v>
      </c>
      <c r="V80">
        <v>46.5</v>
      </c>
      <c r="W80">
        <v>5.5</v>
      </c>
    </row>
    <row r="81" spans="1:23" x14ac:dyDescent="0.2">
      <c r="B81">
        <f t="shared" si="3"/>
        <v>9</v>
      </c>
      <c r="D81" t="s">
        <v>3</v>
      </c>
      <c r="H81" s="6"/>
      <c r="I81" s="6" t="s">
        <v>36</v>
      </c>
      <c r="J81" s="6"/>
      <c r="K81" s="6" t="s">
        <v>44</v>
      </c>
      <c r="L81" s="9"/>
      <c r="M81" s="9"/>
      <c r="O81" s="6"/>
      <c r="P81" s="6" t="s">
        <v>36</v>
      </c>
      <c r="Q81" s="6"/>
      <c r="R81" s="6">
        <v>8</v>
      </c>
      <c r="S81">
        <v>0</v>
      </c>
      <c r="T81">
        <v>0</v>
      </c>
      <c r="U81">
        <v>0</v>
      </c>
      <c r="V81">
        <v>47.5</v>
      </c>
      <c r="W81">
        <v>5</v>
      </c>
    </row>
    <row r="82" spans="1:23" x14ac:dyDescent="0.2">
      <c r="B82">
        <f t="shared" si="3"/>
        <v>10</v>
      </c>
      <c r="D82" t="s">
        <v>3</v>
      </c>
      <c r="H82" s="6"/>
      <c r="I82" s="6" t="s">
        <v>37</v>
      </c>
      <c r="J82" s="6"/>
      <c r="K82" s="6" t="s">
        <v>43</v>
      </c>
      <c r="L82" s="9"/>
      <c r="M82" s="9"/>
      <c r="O82" s="6"/>
      <c r="P82" s="6" t="s">
        <v>37</v>
      </c>
      <c r="Q82" s="6"/>
      <c r="R82" s="6">
        <v>6</v>
      </c>
      <c r="S82">
        <v>0</v>
      </c>
      <c r="T82">
        <v>0</v>
      </c>
      <c r="U82">
        <v>0</v>
      </c>
      <c r="V82">
        <v>48</v>
      </c>
      <c r="W82">
        <v>5.5</v>
      </c>
    </row>
    <row r="83" spans="1:23" x14ac:dyDescent="0.2">
      <c r="B83">
        <f t="shared" si="3"/>
        <v>11</v>
      </c>
      <c r="D83" t="s">
        <v>3</v>
      </c>
      <c r="H83" s="6"/>
      <c r="I83" s="6" t="s">
        <v>38</v>
      </c>
      <c r="J83" s="6"/>
      <c r="K83" s="6" t="s">
        <v>42</v>
      </c>
      <c r="L83" s="9"/>
      <c r="M83" s="9"/>
      <c r="O83" s="6"/>
      <c r="P83" s="6" t="s">
        <v>38</v>
      </c>
      <c r="Q83" s="6"/>
      <c r="R83" s="6">
        <v>7</v>
      </c>
      <c r="S83">
        <v>0</v>
      </c>
      <c r="T83">
        <v>0</v>
      </c>
      <c r="U83">
        <v>0</v>
      </c>
      <c r="V83">
        <v>47</v>
      </c>
      <c r="W83">
        <v>6</v>
      </c>
    </row>
    <row r="84" spans="1:23" x14ac:dyDescent="0.2">
      <c r="B84">
        <f t="shared" si="3"/>
        <v>12</v>
      </c>
      <c r="D84" t="s">
        <v>3</v>
      </c>
      <c r="H84" s="6"/>
      <c r="I84" s="6" t="s">
        <v>30</v>
      </c>
      <c r="J84" s="6"/>
      <c r="K84" s="6" t="s">
        <v>42</v>
      </c>
      <c r="L84" s="9"/>
      <c r="M84" s="9"/>
      <c r="O84" s="6"/>
      <c r="P84" s="6" t="s">
        <v>30</v>
      </c>
      <c r="Q84" s="6"/>
      <c r="R84" s="6">
        <v>10</v>
      </c>
      <c r="S84">
        <v>0</v>
      </c>
      <c r="T84">
        <v>0</v>
      </c>
      <c r="U84">
        <v>0</v>
      </c>
      <c r="V84">
        <v>47</v>
      </c>
      <c r="W84">
        <v>5</v>
      </c>
    </row>
    <row r="85" spans="1:23" x14ac:dyDescent="0.2">
      <c r="B85">
        <f t="shared" si="3"/>
        <v>13</v>
      </c>
      <c r="D85" t="s">
        <v>3</v>
      </c>
      <c r="H85" s="6"/>
      <c r="I85" s="6" t="s">
        <v>31</v>
      </c>
      <c r="J85" s="6"/>
      <c r="K85" s="6" t="s">
        <v>9</v>
      </c>
      <c r="L85" s="9"/>
      <c r="M85" s="9"/>
      <c r="O85" s="6"/>
      <c r="P85" s="6" t="s">
        <v>31</v>
      </c>
      <c r="Q85" s="6"/>
      <c r="R85" s="6">
        <v>9</v>
      </c>
      <c r="S85">
        <v>0</v>
      </c>
      <c r="T85">
        <v>0</v>
      </c>
      <c r="U85">
        <v>0</v>
      </c>
      <c r="V85">
        <v>47</v>
      </c>
      <c r="W85">
        <v>5.5</v>
      </c>
    </row>
    <row r="86" spans="1:23" x14ac:dyDescent="0.2">
      <c r="B86">
        <f t="shared" si="3"/>
        <v>14</v>
      </c>
      <c r="D86" t="s">
        <v>3</v>
      </c>
      <c r="H86" s="6"/>
      <c r="I86" s="6" t="s">
        <v>32</v>
      </c>
      <c r="J86" s="6"/>
      <c r="K86" s="7" t="s">
        <v>44</v>
      </c>
      <c r="L86" s="9"/>
      <c r="M86" s="9"/>
      <c r="O86" s="6"/>
      <c r="P86" s="6" t="s">
        <v>32</v>
      </c>
      <c r="Q86" s="6"/>
      <c r="R86" s="7">
        <v>9</v>
      </c>
      <c r="S86">
        <v>0</v>
      </c>
      <c r="T86">
        <v>0</v>
      </c>
      <c r="U86">
        <v>0</v>
      </c>
      <c r="V86">
        <v>47.5</v>
      </c>
      <c r="W86">
        <v>5</v>
      </c>
    </row>
    <row r="87" spans="1:23" x14ac:dyDescent="0.2">
      <c r="B87">
        <f t="shared" si="3"/>
        <v>15</v>
      </c>
      <c r="D87" t="s">
        <v>3</v>
      </c>
      <c r="H87" s="6"/>
      <c r="I87" s="6" t="s">
        <v>39</v>
      </c>
      <c r="J87" s="6"/>
      <c r="K87" s="7" t="s">
        <v>42</v>
      </c>
      <c r="L87" s="9"/>
      <c r="M87" s="9"/>
      <c r="O87" s="6"/>
      <c r="P87" s="6" t="s">
        <v>39</v>
      </c>
      <c r="Q87" s="6"/>
      <c r="R87" s="7">
        <v>4</v>
      </c>
      <c r="S87">
        <v>0</v>
      </c>
      <c r="T87">
        <v>0</v>
      </c>
      <c r="U87">
        <v>0</v>
      </c>
    </row>
    <row r="88" spans="1:23" x14ac:dyDescent="0.2">
      <c r="B88">
        <f t="shared" si="3"/>
        <v>16</v>
      </c>
      <c r="D88" t="s">
        <v>3</v>
      </c>
      <c r="H88" s="6"/>
      <c r="I88" s="6" t="s">
        <v>40</v>
      </c>
      <c r="J88" s="6"/>
      <c r="K88" s="7" t="s">
        <v>42</v>
      </c>
      <c r="L88" s="9"/>
      <c r="M88" s="9"/>
      <c r="O88" s="6"/>
      <c r="P88" s="6" t="s">
        <v>40</v>
      </c>
      <c r="Q88" s="6"/>
      <c r="R88" s="7">
        <v>4</v>
      </c>
      <c r="S88">
        <v>0</v>
      </c>
      <c r="T88">
        <v>0</v>
      </c>
      <c r="U88">
        <v>0</v>
      </c>
    </row>
    <row r="89" spans="1:23" x14ac:dyDescent="0.2">
      <c r="B89">
        <f t="shared" si="3"/>
        <v>17</v>
      </c>
      <c r="D89" t="s">
        <v>3</v>
      </c>
      <c r="H89" s="6"/>
      <c r="I89" s="6" t="s">
        <v>41</v>
      </c>
      <c r="J89" s="6"/>
      <c r="K89" s="7" t="s">
        <v>42</v>
      </c>
      <c r="L89" s="9"/>
      <c r="M89" s="9"/>
      <c r="O89" s="6"/>
      <c r="P89" s="6" t="s">
        <v>41</v>
      </c>
      <c r="Q89" s="6"/>
      <c r="R89" s="7">
        <v>4</v>
      </c>
      <c r="S89">
        <v>0</v>
      </c>
      <c r="T89">
        <v>0</v>
      </c>
      <c r="U89">
        <v>0</v>
      </c>
    </row>
    <row r="90" spans="1:23" x14ac:dyDescent="0.2">
      <c r="B90">
        <f t="shared" si="3"/>
        <v>18</v>
      </c>
      <c r="D90" t="s">
        <v>3</v>
      </c>
    </row>
    <row r="91" spans="1:23" x14ac:dyDescent="0.2">
      <c r="B91">
        <f t="shared" si="3"/>
        <v>19</v>
      </c>
      <c r="D91" t="s">
        <v>3</v>
      </c>
      <c r="H91" s="5">
        <v>46180</v>
      </c>
      <c r="I91" s="6"/>
      <c r="J91" s="6"/>
      <c r="K91" s="6"/>
      <c r="L91" s="6"/>
      <c r="M91" s="6"/>
      <c r="O91" s="5">
        <v>46210</v>
      </c>
      <c r="P91" s="6"/>
      <c r="Q91" s="6"/>
      <c r="R91" s="6"/>
    </row>
    <row r="92" spans="1:23" x14ac:dyDescent="0.2">
      <c r="B92">
        <f t="shared" si="3"/>
        <v>20</v>
      </c>
      <c r="D92" t="s">
        <v>3</v>
      </c>
      <c r="H92" s="6"/>
      <c r="I92" s="6" t="s">
        <v>0</v>
      </c>
      <c r="J92" s="6"/>
      <c r="K92" s="6" t="s">
        <v>1</v>
      </c>
      <c r="L92" s="6"/>
      <c r="M92" s="6"/>
      <c r="O92" s="6"/>
      <c r="P92" s="6" t="s">
        <v>0</v>
      </c>
      <c r="Q92" s="6"/>
      <c r="R92" s="6" t="s">
        <v>55</v>
      </c>
      <c r="S92" t="s">
        <v>56</v>
      </c>
      <c r="T92" s="6" t="s">
        <v>57</v>
      </c>
      <c r="U92" s="6" t="s">
        <v>63</v>
      </c>
      <c r="V92" s="6" t="s">
        <v>65</v>
      </c>
      <c r="W92" s="6" t="s">
        <v>66</v>
      </c>
    </row>
    <row r="93" spans="1:23" x14ac:dyDescent="0.2">
      <c r="H93" s="6"/>
      <c r="I93" s="6" t="s">
        <v>33</v>
      </c>
      <c r="J93" s="6"/>
      <c r="K93" s="6" t="s">
        <v>43</v>
      </c>
      <c r="L93" s="9"/>
      <c r="M93" s="9"/>
      <c r="O93" s="6"/>
      <c r="P93" s="6" t="s">
        <v>33</v>
      </c>
      <c r="Q93" s="6"/>
      <c r="R93" s="6">
        <v>11</v>
      </c>
      <c r="S93">
        <v>0</v>
      </c>
      <c r="T93">
        <v>0</v>
      </c>
      <c r="U93">
        <v>0</v>
      </c>
      <c r="V93">
        <v>47</v>
      </c>
      <c r="W93">
        <v>5</v>
      </c>
    </row>
    <row r="94" spans="1:23" x14ac:dyDescent="0.2">
      <c r="A94" s="1">
        <v>46154</v>
      </c>
      <c r="H94" s="6"/>
      <c r="I94" s="6" t="s">
        <v>34</v>
      </c>
      <c r="J94" s="6"/>
      <c r="K94" s="6" t="s">
        <v>44</v>
      </c>
      <c r="L94" s="9"/>
      <c r="M94" s="9"/>
      <c r="O94" s="6"/>
      <c r="P94" s="6" t="s">
        <v>34</v>
      </c>
      <c r="Q94" s="6"/>
      <c r="R94" s="6">
        <v>8</v>
      </c>
      <c r="S94">
        <v>0</v>
      </c>
      <c r="T94">
        <v>0</v>
      </c>
      <c r="U94">
        <v>0</v>
      </c>
      <c r="V94">
        <v>47</v>
      </c>
      <c r="W94">
        <v>6</v>
      </c>
    </row>
    <row r="95" spans="1:23" x14ac:dyDescent="0.2">
      <c r="B95" t="s">
        <v>0</v>
      </c>
      <c r="D95" t="s">
        <v>1</v>
      </c>
      <c r="H95" s="6"/>
      <c r="I95" s="6" t="s">
        <v>35</v>
      </c>
      <c r="J95" s="6"/>
      <c r="K95" s="6" t="s">
        <v>43</v>
      </c>
      <c r="L95" s="9"/>
      <c r="M95" s="9"/>
      <c r="O95" s="6"/>
      <c r="P95" s="6" t="s">
        <v>35</v>
      </c>
      <c r="Q95" s="6"/>
      <c r="R95" s="6">
        <v>11</v>
      </c>
      <c r="S95">
        <v>0</v>
      </c>
      <c r="T95">
        <v>0</v>
      </c>
      <c r="U95">
        <v>0</v>
      </c>
      <c r="V95">
        <v>46.5</v>
      </c>
      <c r="W95">
        <v>5.5</v>
      </c>
    </row>
    <row r="96" spans="1:23" x14ac:dyDescent="0.2">
      <c r="B96">
        <v>1</v>
      </c>
      <c r="D96" t="s">
        <v>3</v>
      </c>
      <c r="H96" s="6"/>
      <c r="I96" s="6" t="s">
        <v>36</v>
      </c>
      <c r="J96" s="6"/>
      <c r="K96" s="6" t="s">
        <v>44</v>
      </c>
      <c r="L96" s="9"/>
      <c r="M96" s="9"/>
      <c r="O96" s="6"/>
      <c r="P96" s="6" t="s">
        <v>36</v>
      </c>
      <c r="Q96" s="6"/>
      <c r="R96" s="6">
        <v>8</v>
      </c>
      <c r="S96">
        <v>0</v>
      </c>
      <c r="T96">
        <v>0</v>
      </c>
      <c r="U96">
        <v>0</v>
      </c>
      <c r="V96">
        <v>47.5</v>
      </c>
      <c r="W96">
        <v>5</v>
      </c>
    </row>
    <row r="97" spans="2:23" x14ac:dyDescent="0.2">
      <c r="B97">
        <f>B96+1</f>
        <v>2</v>
      </c>
      <c r="D97" t="s">
        <v>4</v>
      </c>
      <c r="H97" s="6"/>
      <c r="I97" s="6" t="s">
        <v>37</v>
      </c>
      <c r="J97" s="6"/>
      <c r="K97" s="6" t="s">
        <v>44</v>
      </c>
      <c r="L97" s="9"/>
      <c r="M97" s="9"/>
      <c r="O97" s="6"/>
      <c r="P97" s="6" t="s">
        <v>37</v>
      </c>
      <c r="Q97" s="6"/>
      <c r="R97" s="6">
        <v>7</v>
      </c>
      <c r="S97">
        <v>0</v>
      </c>
      <c r="T97">
        <v>0</v>
      </c>
      <c r="U97">
        <v>0</v>
      </c>
      <c r="V97">
        <v>48</v>
      </c>
      <c r="W97">
        <v>5.5</v>
      </c>
    </row>
    <row r="98" spans="2:23" x14ac:dyDescent="0.2">
      <c r="B98">
        <f t="shared" ref="B98:B115" si="4">B97+1</f>
        <v>3</v>
      </c>
      <c r="D98" t="s">
        <v>3</v>
      </c>
      <c r="H98" s="6"/>
      <c r="I98" s="6" t="s">
        <v>38</v>
      </c>
      <c r="J98" s="6"/>
      <c r="K98" s="6" t="s">
        <v>42</v>
      </c>
      <c r="L98" s="9"/>
      <c r="M98" s="9"/>
      <c r="O98" s="6"/>
      <c r="P98" s="6" t="s">
        <v>38</v>
      </c>
      <c r="Q98" s="6"/>
      <c r="R98" s="6">
        <v>8</v>
      </c>
      <c r="S98">
        <v>0</v>
      </c>
      <c r="T98">
        <v>0</v>
      </c>
      <c r="U98">
        <v>0</v>
      </c>
      <c r="V98">
        <v>47</v>
      </c>
      <c r="W98">
        <v>6.5</v>
      </c>
    </row>
    <row r="99" spans="2:23" x14ac:dyDescent="0.2">
      <c r="B99">
        <f t="shared" si="4"/>
        <v>4</v>
      </c>
      <c r="D99" t="s">
        <v>4</v>
      </c>
      <c r="H99" s="6"/>
      <c r="I99" s="6" t="s">
        <v>30</v>
      </c>
      <c r="J99" s="6"/>
      <c r="K99" s="6" t="s">
        <v>42</v>
      </c>
      <c r="L99" s="9"/>
      <c r="M99" s="9"/>
      <c r="O99" s="6"/>
      <c r="P99" s="6" t="s">
        <v>30</v>
      </c>
      <c r="Q99" s="6"/>
      <c r="R99" s="6">
        <v>11</v>
      </c>
      <c r="S99">
        <v>0</v>
      </c>
      <c r="T99">
        <v>0</v>
      </c>
      <c r="U99">
        <v>0</v>
      </c>
      <c r="V99">
        <v>47</v>
      </c>
      <c r="W99">
        <v>5</v>
      </c>
    </row>
    <row r="100" spans="2:23" x14ac:dyDescent="0.2">
      <c r="B100">
        <f t="shared" si="4"/>
        <v>5</v>
      </c>
      <c r="D100" t="s">
        <v>3</v>
      </c>
      <c r="H100" s="6"/>
      <c r="I100" s="6" t="s">
        <v>31</v>
      </c>
      <c r="J100" s="6"/>
      <c r="K100" s="6" t="s">
        <v>9</v>
      </c>
      <c r="L100" s="9"/>
      <c r="M100" s="9"/>
      <c r="O100" s="6"/>
      <c r="P100" s="6" t="s">
        <v>31</v>
      </c>
      <c r="Q100" s="6"/>
      <c r="R100" s="6">
        <v>11</v>
      </c>
      <c r="S100">
        <v>0</v>
      </c>
      <c r="T100">
        <v>0</v>
      </c>
      <c r="U100">
        <v>0</v>
      </c>
      <c r="V100">
        <v>47</v>
      </c>
      <c r="W100">
        <v>5.5</v>
      </c>
    </row>
    <row r="101" spans="2:23" x14ac:dyDescent="0.2">
      <c r="B101">
        <f t="shared" si="4"/>
        <v>6</v>
      </c>
      <c r="D101" t="s">
        <v>4</v>
      </c>
      <c r="H101" s="6"/>
      <c r="I101" s="6" t="s">
        <v>32</v>
      </c>
      <c r="J101" s="6"/>
      <c r="K101" s="7" t="s">
        <v>43</v>
      </c>
      <c r="L101" s="9"/>
      <c r="M101" s="9"/>
      <c r="O101" s="6"/>
      <c r="P101" s="6" t="s">
        <v>32</v>
      </c>
      <c r="Q101" s="6"/>
      <c r="R101" s="7">
        <v>10</v>
      </c>
      <c r="S101">
        <v>0</v>
      </c>
      <c r="T101">
        <v>0</v>
      </c>
      <c r="U101">
        <v>0</v>
      </c>
      <c r="V101">
        <v>47.5</v>
      </c>
      <c r="W101">
        <v>5</v>
      </c>
    </row>
    <row r="102" spans="2:23" x14ac:dyDescent="0.2">
      <c r="B102">
        <f t="shared" si="4"/>
        <v>7</v>
      </c>
      <c r="D102" t="s">
        <v>3</v>
      </c>
      <c r="H102" s="6"/>
      <c r="I102" s="6" t="s">
        <v>39</v>
      </c>
      <c r="J102" s="6"/>
      <c r="K102" s="7" t="s">
        <v>43</v>
      </c>
      <c r="L102" s="9"/>
      <c r="M102" s="9"/>
      <c r="O102" s="6"/>
      <c r="P102" s="6" t="s">
        <v>39</v>
      </c>
      <c r="Q102" s="6"/>
      <c r="R102" s="7">
        <v>4</v>
      </c>
      <c r="S102">
        <v>0</v>
      </c>
      <c r="T102">
        <v>0</v>
      </c>
      <c r="U102">
        <v>0</v>
      </c>
    </row>
    <row r="103" spans="2:23" x14ac:dyDescent="0.2">
      <c r="B103">
        <f t="shared" si="4"/>
        <v>8</v>
      </c>
      <c r="D103" t="s">
        <v>3</v>
      </c>
      <c r="H103" s="6"/>
      <c r="I103" s="6" t="s">
        <v>40</v>
      </c>
      <c r="J103" s="6"/>
      <c r="K103" s="7" t="s">
        <v>44</v>
      </c>
      <c r="L103" s="9"/>
      <c r="M103" s="9"/>
      <c r="O103" s="6"/>
      <c r="P103" s="6" t="s">
        <v>40</v>
      </c>
      <c r="Q103" s="6"/>
      <c r="R103" s="7">
        <v>5</v>
      </c>
      <c r="S103">
        <v>0</v>
      </c>
      <c r="T103">
        <v>0</v>
      </c>
      <c r="U103">
        <v>0</v>
      </c>
    </row>
    <row r="104" spans="2:23" x14ac:dyDescent="0.2">
      <c r="B104">
        <f t="shared" si="4"/>
        <v>9</v>
      </c>
      <c r="D104" t="s">
        <v>3</v>
      </c>
      <c r="H104" s="6"/>
      <c r="I104" s="6" t="s">
        <v>41</v>
      </c>
      <c r="J104" s="6"/>
      <c r="K104" s="7" t="s">
        <v>44</v>
      </c>
      <c r="L104" s="9"/>
      <c r="M104" s="9"/>
      <c r="O104" s="6"/>
      <c r="P104" s="6" t="s">
        <v>41</v>
      </c>
      <c r="Q104" s="6"/>
      <c r="R104" s="7">
        <v>5</v>
      </c>
      <c r="S104">
        <v>0</v>
      </c>
      <c r="T104">
        <v>0</v>
      </c>
      <c r="U104">
        <v>0</v>
      </c>
    </row>
    <row r="105" spans="2:23" x14ac:dyDescent="0.2">
      <c r="B105">
        <f t="shared" si="4"/>
        <v>10</v>
      </c>
      <c r="D105" t="s">
        <v>3</v>
      </c>
    </row>
    <row r="106" spans="2:23" x14ac:dyDescent="0.2">
      <c r="B106">
        <f t="shared" si="4"/>
        <v>11</v>
      </c>
      <c r="D106" t="s">
        <v>4</v>
      </c>
      <c r="H106" s="5">
        <v>46181</v>
      </c>
      <c r="I106" s="6"/>
      <c r="J106" s="6"/>
      <c r="K106" s="6"/>
      <c r="O106" s="5">
        <v>46211</v>
      </c>
      <c r="P106" s="6"/>
      <c r="Q106" s="6"/>
      <c r="R106" s="6"/>
    </row>
    <row r="107" spans="2:23" x14ac:dyDescent="0.2">
      <c r="B107">
        <f t="shared" si="4"/>
        <v>12</v>
      </c>
      <c r="D107" t="s">
        <v>3</v>
      </c>
      <c r="H107" s="6"/>
      <c r="I107" s="6" t="s">
        <v>0</v>
      </c>
      <c r="J107" s="6"/>
      <c r="K107" s="6" t="s">
        <v>1</v>
      </c>
      <c r="O107" s="6"/>
      <c r="P107" s="6" t="s">
        <v>0</v>
      </c>
      <c r="Q107" s="6"/>
      <c r="R107" s="6" t="s">
        <v>55</v>
      </c>
      <c r="S107" t="s">
        <v>56</v>
      </c>
      <c r="T107" s="6" t="s">
        <v>57</v>
      </c>
      <c r="U107" s="6" t="s">
        <v>63</v>
      </c>
      <c r="V107" s="6" t="s">
        <v>65</v>
      </c>
      <c r="W107" s="6" t="s">
        <v>66</v>
      </c>
    </row>
    <row r="108" spans="2:23" x14ac:dyDescent="0.2">
      <c r="B108">
        <f t="shared" si="4"/>
        <v>13</v>
      </c>
      <c r="D108" t="s">
        <v>3</v>
      </c>
      <c r="H108" s="6"/>
      <c r="I108" s="6" t="s">
        <v>33</v>
      </c>
      <c r="J108" s="6"/>
      <c r="K108" s="6" t="s">
        <v>43</v>
      </c>
      <c r="O108" s="6"/>
      <c r="P108" s="6" t="s">
        <v>33</v>
      </c>
      <c r="Q108" s="6"/>
      <c r="R108" s="6">
        <v>11</v>
      </c>
      <c r="S108">
        <v>0</v>
      </c>
      <c r="T108">
        <v>0</v>
      </c>
      <c r="U108">
        <v>0</v>
      </c>
      <c r="V108">
        <v>47.5</v>
      </c>
      <c r="W108">
        <v>5.5</v>
      </c>
    </row>
    <row r="109" spans="2:23" x14ac:dyDescent="0.2">
      <c r="B109">
        <f t="shared" si="4"/>
        <v>14</v>
      </c>
      <c r="D109" t="s">
        <v>3</v>
      </c>
      <c r="H109" s="6"/>
      <c r="I109" s="6" t="s">
        <v>34</v>
      </c>
      <c r="J109" s="6"/>
      <c r="K109" s="6" t="s">
        <v>44</v>
      </c>
      <c r="O109" s="6"/>
      <c r="P109" s="6" t="s">
        <v>34</v>
      </c>
      <c r="Q109" s="6"/>
      <c r="R109" s="6">
        <v>8</v>
      </c>
      <c r="S109">
        <v>0</v>
      </c>
      <c r="T109">
        <v>0</v>
      </c>
      <c r="U109">
        <v>0</v>
      </c>
      <c r="V109">
        <v>47</v>
      </c>
      <c r="W109">
        <v>6</v>
      </c>
    </row>
    <row r="110" spans="2:23" x14ac:dyDescent="0.2">
      <c r="B110">
        <f t="shared" si="4"/>
        <v>15</v>
      </c>
      <c r="D110" t="s">
        <v>4</v>
      </c>
      <c r="H110" s="6"/>
      <c r="I110" s="6" t="s">
        <v>35</v>
      </c>
      <c r="J110" s="6"/>
      <c r="K110" s="6" t="s">
        <v>43</v>
      </c>
      <c r="O110" s="6"/>
      <c r="P110" s="6" t="s">
        <v>35</v>
      </c>
      <c r="Q110" s="6"/>
      <c r="R110" s="6">
        <v>11</v>
      </c>
      <c r="S110">
        <v>1</v>
      </c>
      <c r="T110">
        <v>0</v>
      </c>
      <c r="U110">
        <v>0</v>
      </c>
      <c r="V110">
        <v>47</v>
      </c>
      <c r="W110">
        <v>5.5</v>
      </c>
    </row>
    <row r="111" spans="2:23" x14ac:dyDescent="0.2">
      <c r="B111">
        <f t="shared" si="4"/>
        <v>16</v>
      </c>
      <c r="D111" t="s">
        <v>3</v>
      </c>
      <c r="H111" s="6"/>
      <c r="I111" s="6" t="s">
        <v>36</v>
      </c>
      <c r="J111" s="6"/>
      <c r="K111" s="6" t="s">
        <v>44</v>
      </c>
      <c r="O111" s="6"/>
      <c r="P111" s="6" t="s">
        <v>36</v>
      </c>
      <c r="Q111" s="6"/>
      <c r="R111" s="6">
        <v>8</v>
      </c>
      <c r="S111">
        <v>0</v>
      </c>
      <c r="T111">
        <v>0</v>
      </c>
      <c r="U111">
        <v>0</v>
      </c>
      <c r="V111">
        <v>47.5</v>
      </c>
      <c r="W111">
        <v>5</v>
      </c>
    </row>
    <row r="112" spans="2:23" x14ac:dyDescent="0.2">
      <c r="B112">
        <f t="shared" si="4"/>
        <v>17</v>
      </c>
      <c r="D112" t="s">
        <v>4</v>
      </c>
      <c r="H112" s="6"/>
      <c r="I112" s="6" t="s">
        <v>37</v>
      </c>
      <c r="J112" s="6"/>
      <c r="K112" s="6" t="s">
        <v>44</v>
      </c>
      <c r="O112" s="6"/>
      <c r="P112" s="6" t="s">
        <v>37</v>
      </c>
      <c r="Q112" s="6"/>
      <c r="R112" s="6">
        <v>7</v>
      </c>
      <c r="S112">
        <v>1</v>
      </c>
      <c r="T112">
        <v>0</v>
      </c>
      <c r="U112">
        <v>0</v>
      </c>
      <c r="V112">
        <v>48</v>
      </c>
      <c r="W112">
        <v>6</v>
      </c>
    </row>
    <row r="113" spans="1:23" x14ac:dyDescent="0.2">
      <c r="B113">
        <f t="shared" si="4"/>
        <v>18</v>
      </c>
      <c r="D113" t="s">
        <v>4</v>
      </c>
      <c r="H113" s="6"/>
      <c r="I113" s="6" t="s">
        <v>38</v>
      </c>
      <c r="J113" s="6"/>
      <c r="K113" s="6" t="s">
        <v>42</v>
      </c>
      <c r="O113" s="6"/>
      <c r="P113" s="6" t="s">
        <v>38</v>
      </c>
      <c r="Q113" s="6"/>
      <c r="R113" s="6">
        <v>8</v>
      </c>
      <c r="S113">
        <v>0</v>
      </c>
      <c r="T113">
        <v>0</v>
      </c>
      <c r="U113">
        <v>0</v>
      </c>
      <c r="V113">
        <v>47.5</v>
      </c>
      <c r="W113">
        <v>6.5</v>
      </c>
    </row>
    <row r="114" spans="1:23" x14ac:dyDescent="0.2">
      <c r="B114">
        <f t="shared" si="4"/>
        <v>19</v>
      </c>
      <c r="D114" t="s">
        <v>3</v>
      </c>
      <c r="H114" s="6"/>
      <c r="I114" s="6" t="s">
        <v>30</v>
      </c>
      <c r="J114" s="6"/>
      <c r="K114" s="6" t="s">
        <v>42</v>
      </c>
      <c r="O114" s="6"/>
      <c r="P114" s="6" t="s">
        <v>30</v>
      </c>
      <c r="Q114" s="6"/>
      <c r="R114" s="6">
        <v>11</v>
      </c>
      <c r="S114">
        <v>0</v>
      </c>
      <c r="T114">
        <v>0</v>
      </c>
      <c r="U114">
        <v>0</v>
      </c>
      <c r="V114">
        <v>48</v>
      </c>
      <c r="W114">
        <v>5</v>
      </c>
    </row>
    <row r="115" spans="1:23" x14ac:dyDescent="0.2">
      <c r="B115">
        <f t="shared" si="4"/>
        <v>20</v>
      </c>
      <c r="D115" t="s">
        <v>3</v>
      </c>
      <c r="H115" s="6"/>
      <c r="I115" s="6" t="s">
        <v>31</v>
      </c>
      <c r="J115" s="6"/>
      <c r="K115" s="6" t="s">
        <v>9</v>
      </c>
      <c r="O115" s="6"/>
      <c r="P115" s="6" t="s">
        <v>31</v>
      </c>
      <c r="Q115" s="6"/>
      <c r="R115" s="6">
        <v>12</v>
      </c>
      <c r="S115">
        <v>0</v>
      </c>
      <c r="T115">
        <v>0</v>
      </c>
      <c r="U115">
        <v>0</v>
      </c>
      <c r="V115">
        <v>47</v>
      </c>
      <c r="W115">
        <v>5.5</v>
      </c>
    </row>
    <row r="116" spans="1:23" x14ac:dyDescent="0.2">
      <c r="H116" s="6"/>
      <c r="I116" s="6" t="s">
        <v>32</v>
      </c>
      <c r="J116" s="6"/>
      <c r="K116" s="7" t="s">
        <v>43</v>
      </c>
      <c r="O116" s="6"/>
      <c r="P116" s="6" t="s">
        <v>32</v>
      </c>
      <c r="Q116" s="6"/>
      <c r="R116" s="7">
        <v>10</v>
      </c>
      <c r="S116">
        <v>0</v>
      </c>
      <c r="T116">
        <v>0</v>
      </c>
      <c r="U116">
        <v>0</v>
      </c>
      <c r="V116">
        <v>48</v>
      </c>
      <c r="W116">
        <v>5</v>
      </c>
    </row>
    <row r="117" spans="1:23" x14ac:dyDescent="0.2">
      <c r="A117" s="1">
        <v>46155</v>
      </c>
      <c r="H117" s="6"/>
      <c r="I117" s="6" t="s">
        <v>39</v>
      </c>
      <c r="J117" s="6"/>
      <c r="K117" s="7" t="s">
        <v>43</v>
      </c>
      <c r="O117" s="6"/>
      <c r="P117" s="6" t="s">
        <v>39</v>
      </c>
      <c r="Q117" s="6"/>
      <c r="R117" s="7">
        <v>4</v>
      </c>
      <c r="S117">
        <v>0</v>
      </c>
      <c r="T117">
        <v>0</v>
      </c>
      <c r="U117">
        <v>0</v>
      </c>
    </row>
    <row r="118" spans="1:23" x14ac:dyDescent="0.2">
      <c r="B118" t="s">
        <v>0</v>
      </c>
      <c r="D118" t="s">
        <v>1</v>
      </c>
      <c r="H118" s="6"/>
      <c r="I118" s="6" t="s">
        <v>40</v>
      </c>
      <c r="J118" s="6"/>
      <c r="K118" s="7" t="s">
        <v>44</v>
      </c>
      <c r="O118" s="6"/>
      <c r="P118" s="6" t="s">
        <v>40</v>
      </c>
      <c r="Q118" s="6"/>
      <c r="R118" s="7">
        <v>5</v>
      </c>
      <c r="S118">
        <v>0</v>
      </c>
      <c r="T118">
        <v>0</v>
      </c>
      <c r="U118">
        <v>0</v>
      </c>
    </row>
    <row r="119" spans="1:23" x14ac:dyDescent="0.2">
      <c r="B119">
        <v>1</v>
      </c>
      <c r="D119" t="s">
        <v>3</v>
      </c>
      <c r="H119" s="6"/>
      <c r="I119" s="6" t="s">
        <v>41</v>
      </c>
      <c r="J119" s="6"/>
      <c r="K119" s="7" t="s">
        <v>44</v>
      </c>
      <c r="O119" s="6"/>
      <c r="P119" s="6" t="s">
        <v>41</v>
      </c>
      <c r="Q119" s="6"/>
      <c r="R119" s="7">
        <v>5</v>
      </c>
      <c r="S119">
        <v>0</v>
      </c>
      <c r="T119">
        <v>0</v>
      </c>
      <c r="U119">
        <v>0</v>
      </c>
    </row>
    <row r="120" spans="1:23" x14ac:dyDescent="0.2">
      <c r="B120">
        <f>B119+1</f>
        <v>2</v>
      </c>
      <c r="D120" t="s">
        <v>5</v>
      </c>
    </row>
    <row r="121" spans="1:23" x14ac:dyDescent="0.2">
      <c r="B121">
        <f t="shared" ref="B121:B138" si="5">B120+1</f>
        <v>3</v>
      </c>
      <c r="D121" t="s">
        <v>4</v>
      </c>
      <c r="H121" s="5">
        <v>46182</v>
      </c>
      <c r="I121" s="6"/>
      <c r="J121" s="6"/>
      <c r="K121" s="6"/>
      <c r="O121" s="5">
        <v>46212</v>
      </c>
      <c r="P121" s="6"/>
      <c r="Q121" s="6"/>
      <c r="R121" s="6"/>
    </row>
    <row r="122" spans="1:23" x14ac:dyDescent="0.2">
      <c r="B122">
        <f t="shared" si="5"/>
        <v>4</v>
      </c>
      <c r="D122" t="s">
        <v>4</v>
      </c>
      <c r="H122" s="6"/>
      <c r="I122" s="6" t="s">
        <v>0</v>
      </c>
      <c r="J122" s="6"/>
      <c r="K122" s="6" t="s">
        <v>1</v>
      </c>
      <c r="O122" s="6"/>
      <c r="P122" s="6" t="s">
        <v>0</v>
      </c>
      <c r="Q122" s="6"/>
      <c r="R122" s="6" t="s">
        <v>55</v>
      </c>
      <c r="S122" t="s">
        <v>56</v>
      </c>
      <c r="T122" s="6" t="s">
        <v>57</v>
      </c>
      <c r="U122" s="6" t="s">
        <v>63</v>
      </c>
      <c r="V122" s="6" t="s">
        <v>65</v>
      </c>
      <c r="W122" s="6" t="s">
        <v>66</v>
      </c>
    </row>
    <row r="123" spans="1:23" x14ac:dyDescent="0.2">
      <c r="B123">
        <f t="shared" si="5"/>
        <v>5</v>
      </c>
      <c r="D123" t="s">
        <v>3</v>
      </c>
      <c r="H123" s="6"/>
      <c r="I123" s="6" t="s">
        <v>33</v>
      </c>
      <c r="J123" s="6"/>
      <c r="K123" s="6" t="s">
        <v>43</v>
      </c>
      <c r="O123" s="6"/>
      <c r="P123" s="6" t="s">
        <v>33</v>
      </c>
      <c r="Q123" s="6"/>
      <c r="R123" s="6">
        <v>11</v>
      </c>
      <c r="S123">
        <v>0</v>
      </c>
      <c r="T123">
        <v>0</v>
      </c>
      <c r="U123">
        <v>0</v>
      </c>
      <c r="V123">
        <v>47.5</v>
      </c>
      <c r="W123">
        <v>5.5</v>
      </c>
    </row>
    <row r="124" spans="1:23" x14ac:dyDescent="0.2">
      <c r="B124">
        <f t="shared" si="5"/>
        <v>6</v>
      </c>
      <c r="D124" t="s">
        <v>6</v>
      </c>
      <c r="H124" s="6"/>
      <c r="I124" s="6" t="s">
        <v>34</v>
      </c>
      <c r="J124" s="6"/>
      <c r="K124" s="6" t="s">
        <v>44</v>
      </c>
      <c r="O124" s="6"/>
      <c r="P124" s="6" t="s">
        <v>34</v>
      </c>
      <c r="Q124" s="6"/>
      <c r="R124" s="6">
        <v>8</v>
      </c>
      <c r="S124">
        <v>0</v>
      </c>
      <c r="T124">
        <v>0</v>
      </c>
      <c r="U124">
        <v>0</v>
      </c>
      <c r="V124">
        <v>47</v>
      </c>
      <c r="W124">
        <v>6</v>
      </c>
    </row>
    <row r="125" spans="1:23" x14ac:dyDescent="0.2">
      <c r="B125">
        <f t="shared" si="5"/>
        <v>7</v>
      </c>
      <c r="D125" t="s">
        <v>3</v>
      </c>
      <c r="H125" s="6"/>
      <c r="I125" s="6" t="s">
        <v>35</v>
      </c>
      <c r="J125" s="6"/>
      <c r="K125" s="6" t="s">
        <v>43</v>
      </c>
      <c r="O125" s="6"/>
      <c r="P125" s="6" t="s">
        <v>35</v>
      </c>
      <c r="Q125" s="6"/>
      <c r="R125" s="6">
        <v>11</v>
      </c>
      <c r="S125">
        <v>1</v>
      </c>
      <c r="T125">
        <v>0</v>
      </c>
      <c r="U125">
        <v>0</v>
      </c>
      <c r="V125">
        <v>47</v>
      </c>
      <c r="W125">
        <v>6</v>
      </c>
    </row>
    <row r="126" spans="1:23" x14ac:dyDescent="0.2">
      <c r="B126">
        <f t="shared" si="5"/>
        <v>8</v>
      </c>
      <c r="D126" t="s">
        <v>3</v>
      </c>
      <c r="H126" s="6"/>
      <c r="I126" s="6" t="s">
        <v>36</v>
      </c>
      <c r="J126" s="6"/>
      <c r="K126" s="6" t="s">
        <v>44</v>
      </c>
      <c r="O126" s="6"/>
      <c r="P126" s="6" t="s">
        <v>36</v>
      </c>
      <c r="Q126" s="6"/>
      <c r="R126" s="6">
        <v>8</v>
      </c>
      <c r="S126">
        <v>0</v>
      </c>
      <c r="T126">
        <v>0</v>
      </c>
      <c r="U126">
        <v>0</v>
      </c>
      <c r="V126">
        <v>48</v>
      </c>
      <c r="W126">
        <v>5.5</v>
      </c>
    </row>
    <row r="127" spans="1:23" x14ac:dyDescent="0.2">
      <c r="B127">
        <f t="shared" si="5"/>
        <v>9</v>
      </c>
      <c r="D127" t="s">
        <v>4</v>
      </c>
      <c r="H127" s="6"/>
      <c r="I127" s="6" t="s">
        <v>37</v>
      </c>
      <c r="J127" s="6"/>
      <c r="K127" s="6" t="s">
        <v>44</v>
      </c>
      <c r="O127" s="6"/>
      <c r="P127" s="6" t="s">
        <v>37</v>
      </c>
      <c r="Q127" s="6"/>
      <c r="R127" s="6">
        <v>7</v>
      </c>
      <c r="S127">
        <v>0</v>
      </c>
      <c r="T127">
        <v>0</v>
      </c>
      <c r="U127">
        <v>0</v>
      </c>
      <c r="V127">
        <v>48</v>
      </c>
      <c r="W127">
        <v>6</v>
      </c>
    </row>
    <row r="128" spans="1:23" x14ac:dyDescent="0.2">
      <c r="B128">
        <f t="shared" si="5"/>
        <v>10</v>
      </c>
      <c r="D128" t="s">
        <v>3</v>
      </c>
      <c r="H128" s="6"/>
      <c r="I128" s="6" t="s">
        <v>38</v>
      </c>
      <c r="J128" s="6"/>
      <c r="K128" s="6" t="s">
        <v>42</v>
      </c>
      <c r="O128" s="6"/>
      <c r="P128" s="6" t="s">
        <v>38</v>
      </c>
      <c r="Q128" s="6"/>
      <c r="R128" s="6">
        <v>8</v>
      </c>
      <c r="S128">
        <v>0</v>
      </c>
      <c r="T128">
        <v>0</v>
      </c>
      <c r="U128">
        <v>0</v>
      </c>
      <c r="V128">
        <v>47.5</v>
      </c>
      <c r="W128">
        <v>6.5</v>
      </c>
    </row>
    <row r="129" spans="1:23" x14ac:dyDescent="0.2">
      <c r="B129">
        <f t="shared" si="5"/>
        <v>11</v>
      </c>
      <c r="D129" t="s">
        <v>7</v>
      </c>
      <c r="H129" s="6"/>
      <c r="I129" s="6" t="s">
        <v>30</v>
      </c>
      <c r="J129" s="6"/>
      <c r="K129" s="6" t="s">
        <v>42</v>
      </c>
      <c r="O129" s="6"/>
      <c r="P129" s="6" t="s">
        <v>30</v>
      </c>
      <c r="Q129" s="6"/>
      <c r="R129" s="6">
        <v>11</v>
      </c>
      <c r="S129">
        <v>0</v>
      </c>
      <c r="T129">
        <v>0</v>
      </c>
      <c r="U129">
        <v>0</v>
      </c>
      <c r="V129">
        <v>48</v>
      </c>
      <c r="W129">
        <v>5</v>
      </c>
    </row>
    <row r="130" spans="1:23" x14ac:dyDescent="0.2">
      <c r="B130">
        <f t="shared" si="5"/>
        <v>12</v>
      </c>
      <c r="D130" t="s">
        <v>4</v>
      </c>
      <c r="H130" s="6"/>
      <c r="I130" s="6" t="s">
        <v>31</v>
      </c>
      <c r="J130" s="6"/>
      <c r="K130" s="6" t="s">
        <v>9</v>
      </c>
      <c r="O130" s="6"/>
      <c r="P130" s="6" t="s">
        <v>31</v>
      </c>
      <c r="Q130" s="6"/>
      <c r="R130" s="6">
        <v>12</v>
      </c>
      <c r="S130">
        <v>0</v>
      </c>
      <c r="T130">
        <v>0</v>
      </c>
      <c r="U130">
        <v>0</v>
      </c>
      <c r="V130">
        <v>47</v>
      </c>
      <c r="W130">
        <v>5.5</v>
      </c>
    </row>
    <row r="131" spans="1:23" x14ac:dyDescent="0.2">
      <c r="B131">
        <f t="shared" si="5"/>
        <v>13</v>
      </c>
      <c r="D131" t="s">
        <v>3</v>
      </c>
      <c r="H131" s="6"/>
      <c r="I131" s="6" t="s">
        <v>32</v>
      </c>
      <c r="J131" s="6"/>
      <c r="K131" s="7" t="s">
        <v>43</v>
      </c>
      <c r="O131" s="6"/>
      <c r="P131" s="6" t="s">
        <v>32</v>
      </c>
      <c r="Q131" s="6"/>
      <c r="R131" s="7">
        <v>10</v>
      </c>
      <c r="S131">
        <v>0</v>
      </c>
      <c r="T131">
        <v>0</v>
      </c>
      <c r="U131">
        <v>0</v>
      </c>
      <c r="V131">
        <v>48</v>
      </c>
      <c r="W131">
        <v>5</v>
      </c>
    </row>
    <row r="132" spans="1:23" x14ac:dyDescent="0.2">
      <c r="B132">
        <f t="shared" si="5"/>
        <v>14</v>
      </c>
      <c r="D132" t="s">
        <v>3</v>
      </c>
      <c r="H132" s="6"/>
      <c r="I132" s="6" t="s">
        <v>39</v>
      </c>
      <c r="J132" s="6"/>
      <c r="K132" s="7" t="s">
        <v>43</v>
      </c>
      <c r="O132" s="6"/>
      <c r="P132" s="6" t="s">
        <v>39</v>
      </c>
      <c r="Q132" s="6"/>
      <c r="R132" s="7">
        <v>4</v>
      </c>
      <c r="S132">
        <v>0</v>
      </c>
      <c r="T132">
        <v>0</v>
      </c>
      <c r="U132">
        <v>0</v>
      </c>
    </row>
    <row r="133" spans="1:23" x14ac:dyDescent="0.2">
      <c r="B133">
        <f t="shared" si="5"/>
        <v>15</v>
      </c>
      <c r="D133" t="s">
        <v>5</v>
      </c>
      <c r="H133" s="6"/>
      <c r="I133" s="6" t="s">
        <v>40</v>
      </c>
      <c r="J133" s="6"/>
      <c r="K133" s="7" t="s">
        <v>44</v>
      </c>
      <c r="O133" s="6"/>
      <c r="P133" s="6" t="s">
        <v>40</v>
      </c>
      <c r="Q133" s="6"/>
      <c r="R133" s="7">
        <v>5</v>
      </c>
      <c r="S133">
        <v>0</v>
      </c>
      <c r="T133">
        <v>0</v>
      </c>
      <c r="U133">
        <v>0</v>
      </c>
    </row>
    <row r="134" spans="1:23" x14ac:dyDescent="0.2">
      <c r="B134">
        <f t="shared" si="5"/>
        <v>16</v>
      </c>
      <c r="D134" t="s">
        <v>3</v>
      </c>
      <c r="H134" s="6"/>
      <c r="I134" s="6" t="s">
        <v>41</v>
      </c>
      <c r="J134" s="6"/>
      <c r="K134" s="7" t="s">
        <v>44</v>
      </c>
      <c r="O134" s="6"/>
      <c r="P134" s="6" t="s">
        <v>41</v>
      </c>
      <c r="Q134" s="6"/>
      <c r="R134" s="7">
        <v>5</v>
      </c>
      <c r="S134">
        <v>0</v>
      </c>
      <c r="T134">
        <v>0</v>
      </c>
      <c r="U134">
        <v>0</v>
      </c>
    </row>
    <row r="135" spans="1:23" x14ac:dyDescent="0.2">
      <c r="B135">
        <f t="shared" si="5"/>
        <v>17</v>
      </c>
      <c r="D135" t="s">
        <v>5</v>
      </c>
    </row>
    <row r="136" spans="1:23" x14ac:dyDescent="0.2">
      <c r="B136">
        <f t="shared" si="5"/>
        <v>18</v>
      </c>
      <c r="D136" t="s">
        <v>4</v>
      </c>
      <c r="H136" s="5">
        <v>46183</v>
      </c>
      <c r="I136" s="6"/>
      <c r="J136" s="6"/>
      <c r="K136" s="6"/>
      <c r="O136" s="5">
        <v>46213</v>
      </c>
      <c r="P136" s="6"/>
      <c r="Q136" s="6"/>
    </row>
    <row r="137" spans="1:23" x14ac:dyDescent="0.2">
      <c r="B137">
        <f t="shared" si="5"/>
        <v>19</v>
      </c>
      <c r="D137" t="s">
        <v>3</v>
      </c>
      <c r="H137" s="6"/>
      <c r="I137" s="6" t="s">
        <v>0</v>
      </c>
      <c r="J137" s="6"/>
      <c r="K137" s="6" t="s">
        <v>1</v>
      </c>
      <c r="O137" s="6"/>
      <c r="P137" s="6" t="s">
        <v>0</v>
      </c>
      <c r="Q137" s="6"/>
      <c r="R137" s="6" t="s">
        <v>55</v>
      </c>
      <c r="S137" t="s">
        <v>56</v>
      </c>
      <c r="T137" s="6" t="s">
        <v>57</v>
      </c>
      <c r="U137" s="6" t="s">
        <v>63</v>
      </c>
      <c r="V137" s="6" t="s">
        <v>65</v>
      </c>
      <c r="W137" s="6" t="s">
        <v>66</v>
      </c>
    </row>
    <row r="138" spans="1:23" x14ac:dyDescent="0.2">
      <c r="B138">
        <f t="shared" si="5"/>
        <v>20</v>
      </c>
      <c r="D138" t="s">
        <v>3</v>
      </c>
      <c r="H138" s="6"/>
      <c r="I138" s="6" t="s">
        <v>33</v>
      </c>
      <c r="J138" s="6"/>
      <c r="K138" s="6" t="s">
        <v>43</v>
      </c>
      <c r="O138" s="6"/>
      <c r="P138" s="6" t="s">
        <v>33</v>
      </c>
      <c r="Q138" s="6"/>
      <c r="R138" s="6">
        <v>11</v>
      </c>
      <c r="S138">
        <v>0</v>
      </c>
      <c r="T138">
        <v>0</v>
      </c>
      <c r="U138">
        <v>0</v>
      </c>
      <c r="V138">
        <v>47.5</v>
      </c>
      <c r="W138">
        <v>5.5</v>
      </c>
    </row>
    <row r="139" spans="1:23" x14ac:dyDescent="0.2">
      <c r="H139" s="6"/>
      <c r="I139" s="6" t="s">
        <v>34</v>
      </c>
      <c r="J139" s="6"/>
      <c r="K139" s="6" t="s">
        <v>44</v>
      </c>
      <c r="O139" s="6"/>
      <c r="P139" s="6" t="s">
        <v>34</v>
      </c>
      <c r="Q139" s="6"/>
      <c r="R139" s="6">
        <v>9</v>
      </c>
      <c r="S139">
        <v>0</v>
      </c>
      <c r="T139">
        <v>0</v>
      </c>
      <c r="U139">
        <v>0</v>
      </c>
      <c r="V139">
        <v>47</v>
      </c>
      <c r="W139">
        <v>6</v>
      </c>
    </row>
    <row r="140" spans="1:23" x14ac:dyDescent="0.2">
      <c r="A140" s="1">
        <v>46156</v>
      </c>
      <c r="H140" s="6"/>
      <c r="I140" s="6" t="s">
        <v>35</v>
      </c>
      <c r="J140" s="6"/>
      <c r="K140" s="6" t="s">
        <v>43</v>
      </c>
      <c r="O140" s="6"/>
      <c r="P140" s="6" t="s">
        <v>35</v>
      </c>
      <c r="Q140" s="6"/>
      <c r="R140" s="6">
        <v>11</v>
      </c>
      <c r="S140">
        <v>2</v>
      </c>
      <c r="T140">
        <v>0</v>
      </c>
      <c r="U140">
        <v>0</v>
      </c>
      <c r="V140">
        <v>47</v>
      </c>
      <c r="W140">
        <v>6</v>
      </c>
    </row>
    <row r="141" spans="1:23" x14ac:dyDescent="0.2">
      <c r="B141" t="s">
        <v>0</v>
      </c>
      <c r="D141" t="s">
        <v>1</v>
      </c>
      <c r="H141" s="6"/>
      <c r="I141" s="6" t="s">
        <v>36</v>
      </c>
      <c r="J141" s="6"/>
      <c r="K141" s="6" t="s">
        <v>44</v>
      </c>
      <c r="O141" s="6"/>
      <c r="P141" s="6" t="s">
        <v>36</v>
      </c>
      <c r="Q141" s="6"/>
      <c r="R141" s="6">
        <v>9</v>
      </c>
      <c r="S141">
        <v>0</v>
      </c>
      <c r="T141">
        <v>0</v>
      </c>
      <c r="U141">
        <v>0</v>
      </c>
      <c r="V141">
        <v>48</v>
      </c>
      <c r="W141">
        <v>5.5</v>
      </c>
    </row>
    <row r="142" spans="1:23" x14ac:dyDescent="0.2">
      <c r="B142">
        <v>1</v>
      </c>
      <c r="D142" t="s">
        <v>4</v>
      </c>
      <c r="H142" s="6"/>
      <c r="I142" s="6" t="s">
        <v>37</v>
      </c>
      <c r="J142" s="6"/>
      <c r="K142" s="6" t="s">
        <v>44</v>
      </c>
      <c r="O142" s="6"/>
      <c r="P142" s="6" t="s">
        <v>37</v>
      </c>
      <c r="Q142" s="6"/>
      <c r="R142" s="6">
        <v>8</v>
      </c>
      <c r="S142">
        <v>1</v>
      </c>
      <c r="T142">
        <v>0</v>
      </c>
      <c r="U142">
        <v>0</v>
      </c>
      <c r="V142">
        <v>48</v>
      </c>
      <c r="W142">
        <v>6</v>
      </c>
    </row>
    <row r="143" spans="1:23" x14ac:dyDescent="0.2">
      <c r="B143">
        <f>B142+1</f>
        <v>2</v>
      </c>
      <c r="D143" t="s">
        <v>5</v>
      </c>
      <c r="H143" s="6"/>
      <c r="I143" s="6" t="s">
        <v>38</v>
      </c>
      <c r="J143" s="6"/>
      <c r="K143" s="6" t="s">
        <v>42</v>
      </c>
      <c r="O143" s="6"/>
      <c r="P143" s="6" t="s">
        <v>38</v>
      </c>
      <c r="Q143" s="6"/>
      <c r="R143" s="6">
        <v>9</v>
      </c>
      <c r="S143">
        <v>0</v>
      </c>
      <c r="T143">
        <v>0</v>
      </c>
      <c r="U143">
        <v>0</v>
      </c>
      <c r="V143">
        <v>47.5</v>
      </c>
      <c r="W143">
        <v>6.5</v>
      </c>
    </row>
    <row r="144" spans="1:23" x14ac:dyDescent="0.2">
      <c r="B144">
        <f t="shared" ref="B144:B161" si="6">B143+1</f>
        <v>3</v>
      </c>
      <c r="H144" s="6"/>
      <c r="I144" s="6" t="s">
        <v>30</v>
      </c>
      <c r="J144" s="6"/>
      <c r="K144" s="6" t="s">
        <v>42</v>
      </c>
      <c r="O144" s="6"/>
      <c r="P144" s="6" t="s">
        <v>30</v>
      </c>
      <c r="Q144" s="6"/>
      <c r="R144" s="6">
        <v>12</v>
      </c>
      <c r="S144">
        <v>0</v>
      </c>
      <c r="T144">
        <v>0</v>
      </c>
      <c r="U144">
        <v>0</v>
      </c>
      <c r="V144">
        <v>48</v>
      </c>
      <c r="W144">
        <v>5</v>
      </c>
    </row>
    <row r="145" spans="2:23" x14ac:dyDescent="0.2">
      <c r="B145">
        <f t="shared" si="6"/>
        <v>4</v>
      </c>
      <c r="D145" t="s">
        <v>4</v>
      </c>
      <c r="H145" s="6"/>
      <c r="I145" s="6" t="s">
        <v>31</v>
      </c>
      <c r="J145" s="6"/>
      <c r="K145" s="6" t="s">
        <v>9</v>
      </c>
      <c r="O145" s="6"/>
      <c r="P145" s="6" t="s">
        <v>31</v>
      </c>
      <c r="Q145" s="6"/>
      <c r="R145" s="6">
        <v>13</v>
      </c>
      <c r="S145">
        <v>0</v>
      </c>
      <c r="T145">
        <v>0</v>
      </c>
      <c r="U145">
        <v>0</v>
      </c>
      <c r="V145">
        <v>47</v>
      </c>
      <c r="W145">
        <v>5.5</v>
      </c>
    </row>
    <row r="146" spans="2:23" x14ac:dyDescent="0.2">
      <c r="B146">
        <f t="shared" si="6"/>
        <v>5</v>
      </c>
      <c r="D146" t="s">
        <v>3</v>
      </c>
      <c r="H146" s="6"/>
      <c r="I146" s="6" t="s">
        <v>32</v>
      </c>
      <c r="J146" s="6"/>
      <c r="K146" s="7" t="s">
        <v>43</v>
      </c>
      <c r="O146" s="6"/>
      <c r="P146" s="6" t="s">
        <v>32</v>
      </c>
      <c r="Q146" s="6"/>
      <c r="R146" s="7">
        <v>11</v>
      </c>
      <c r="S146">
        <v>0</v>
      </c>
      <c r="T146">
        <v>0</v>
      </c>
      <c r="U146">
        <v>0</v>
      </c>
      <c r="V146">
        <v>48</v>
      </c>
      <c r="W146">
        <v>5.5</v>
      </c>
    </row>
    <row r="147" spans="2:23" x14ac:dyDescent="0.2">
      <c r="B147">
        <f t="shared" si="6"/>
        <v>6</v>
      </c>
      <c r="D147" t="s">
        <v>6</v>
      </c>
      <c r="H147" s="6"/>
      <c r="I147" s="6" t="s">
        <v>39</v>
      </c>
      <c r="J147" s="6"/>
      <c r="K147" s="7" t="s">
        <v>43</v>
      </c>
      <c r="O147" s="6"/>
      <c r="P147" s="6" t="s">
        <v>39</v>
      </c>
      <c r="Q147" s="6"/>
      <c r="R147" s="7">
        <v>4</v>
      </c>
      <c r="S147">
        <v>0</v>
      </c>
      <c r="T147">
        <v>0</v>
      </c>
      <c r="U147">
        <v>0</v>
      </c>
    </row>
    <row r="148" spans="2:23" x14ac:dyDescent="0.2">
      <c r="B148">
        <f t="shared" si="6"/>
        <v>7</v>
      </c>
      <c r="D148" t="s">
        <v>3</v>
      </c>
      <c r="H148" s="6"/>
      <c r="I148" s="6" t="s">
        <v>40</v>
      </c>
      <c r="J148" s="6"/>
      <c r="K148" s="7" t="s">
        <v>44</v>
      </c>
      <c r="O148" s="6"/>
      <c r="P148" s="6" t="s">
        <v>40</v>
      </c>
      <c r="Q148" s="6"/>
      <c r="R148" s="7">
        <v>5</v>
      </c>
      <c r="S148">
        <v>0</v>
      </c>
      <c r="T148">
        <v>0</v>
      </c>
      <c r="U148">
        <v>0</v>
      </c>
    </row>
    <row r="149" spans="2:23" x14ac:dyDescent="0.2">
      <c r="B149">
        <f t="shared" si="6"/>
        <v>8</v>
      </c>
      <c r="D149" t="s">
        <v>3</v>
      </c>
      <c r="H149" s="6"/>
      <c r="I149" s="6" t="s">
        <v>41</v>
      </c>
      <c r="J149" s="6"/>
      <c r="K149" s="7" t="s">
        <v>44</v>
      </c>
      <c r="O149" s="6"/>
      <c r="P149" s="6" t="s">
        <v>41</v>
      </c>
      <c r="Q149" s="6"/>
      <c r="R149" s="7">
        <v>5</v>
      </c>
      <c r="S149">
        <v>0</v>
      </c>
      <c r="T149">
        <v>0</v>
      </c>
      <c r="U149">
        <v>0</v>
      </c>
    </row>
    <row r="150" spans="2:23" x14ac:dyDescent="0.2">
      <c r="B150">
        <f t="shared" si="6"/>
        <v>9</v>
      </c>
      <c r="D150" t="s">
        <v>4</v>
      </c>
    </row>
    <row r="151" spans="2:23" x14ac:dyDescent="0.2">
      <c r="B151">
        <f t="shared" si="6"/>
        <v>10</v>
      </c>
      <c r="D151" t="s">
        <v>3</v>
      </c>
      <c r="H151" s="5">
        <v>46184</v>
      </c>
      <c r="I151" s="6"/>
      <c r="J151" s="6"/>
      <c r="K151" s="6"/>
      <c r="O151" s="5">
        <v>46214</v>
      </c>
      <c r="P151" s="6"/>
      <c r="Q151" s="6"/>
      <c r="R151" s="6"/>
    </row>
    <row r="152" spans="2:23" x14ac:dyDescent="0.2">
      <c r="B152">
        <f t="shared" si="6"/>
        <v>11</v>
      </c>
      <c r="D152" t="s">
        <v>8</v>
      </c>
      <c r="H152" s="6"/>
      <c r="I152" s="6" t="s">
        <v>0</v>
      </c>
      <c r="J152" s="6"/>
      <c r="K152" s="6" t="s">
        <v>1</v>
      </c>
      <c r="O152" s="6"/>
      <c r="P152" s="6" t="s">
        <v>0</v>
      </c>
      <c r="Q152" s="6"/>
      <c r="R152" s="6" t="s">
        <v>55</v>
      </c>
      <c r="S152" t="s">
        <v>56</v>
      </c>
      <c r="T152" s="6" t="s">
        <v>57</v>
      </c>
      <c r="U152" s="6" t="s">
        <v>63</v>
      </c>
      <c r="V152" s="6" t="s">
        <v>65</v>
      </c>
      <c r="W152" s="6" t="s">
        <v>66</v>
      </c>
    </row>
    <row r="153" spans="2:23" x14ac:dyDescent="0.2">
      <c r="B153">
        <f t="shared" si="6"/>
        <v>12</v>
      </c>
      <c r="D153" t="s">
        <v>6</v>
      </c>
      <c r="H153" s="6"/>
      <c r="I153" s="6" t="s">
        <v>33</v>
      </c>
      <c r="J153" s="6"/>
      <c r="K153" s="6">
        <v>6</v>
      </c>
      <c r="O153" s="6"/>
      <c r="P153" s="6" t="s">
        <v>33</v>
      </c>
      <c r="Q153" s="6"/>
      <c r="R153" s="6">
        <v>11</v>
      </c>
      <c r="S153">
        <v>0</v>
      </c>
      <c r="T153" s="6">
        <v>0</v>
      </c>
      <c r="U153" s="6">
        <v>0</v>
      </c>
      <c r="V153">
        <v>47.5</v>
      </c>
      <c r="W153">
        <v>5.5</v>
      </c>
    </row>
    <row r="154" spans="2:23" x14ac:dyDescent="0.2">
      <c r="B154">
        <f t="shared" si="6"/>
        <v>13</v>
      </c>
      <c r="D154" t="s">
        <v>3</v>
      </c>
      <c r="H154" s="6"/>
      <c r="I154" s="6" t="s">
        <v>34</v>
      </c>
      <c r="J154" s="6"/>
      <c r="K154" s="6">
        <v>6</v>
      </c>
      <c r="O154" s="6"/>
      <c r="P154" s="6" t="s">
        <v>34</v>
      </c>
      <c r="Q154" s="6"/>
      <c r="R154" s="6">
        <v>10</v>
      </c>
      <c r="S154">
        <v>0</v>
      </c>
      <c r="T154" s="6">
        <v>0</v>
      </c>
      <c r="U154" s="6">
        <v>0</v>
      </c>
      <c r="V154">
        <v>48</v>
      </c>
      <c r="W154">
        <v>6</v>
      </c>
    </row>
    <row r="155" spans="2:23" x14ac:dyDescent="0.2">
      <c r="B155">
        <f t="shared" si="6"/>
        <v>14</v>
      </c>
      <c r="D155" t="s">
        <v>3</v>
      </c>
      <c r="H155" s="6"/>
      <c r="I155" s="6" t="s">
        <v>35</v>
      </c>
      <c r="J155" s="6"/>
      <c r="K155" s="6">
        <v>7</v>
      </c>
      <c r="O155" s="6"/>
      <c r="P155" s="6" t="s">
        <v>35</v>
      </c>
      <c r="Q155" s="6"/>
      <c r="R155" s="6">
        <v>12</v>
      </c>
      <c r="S155">
        <v>3</v>
      </c>
      <c r="T155" s="6">
        <v>0</v>
      </c>
      <c r="U155" s="6">
        <v>0</v>
      </c>
      <c r="V155">
        <v>47</v>
      </c>
      <c r="W155">
        <v>6</v>
      </c>
    </row>
    <row r="156" spans="2:23" x14ac:dyDescent="0.2">
      <c r="B156">
        <f t="shared" si="6"/>
        <v>15</v>
      </c>
      <c r="D156" t="s">
        <v>5</v>
      </c>
      <c r="H156" s="6"/>
      <c r="I156" s="6" t="s">
        <v>36</v>
      </c>
      <c r="J156" s="6"/>
      <c r="K156" s="6">
        <v>5</v>
      </c>
      <c r="O156" s="6"/>
      <c r="P156" s="6" t="s">
        <v>36</v>
      </c>
      <c r="Q156" s="6"/>
      <c r="R156" s="6">
        <v>10</v>
      </c>
      <c r="S156">
        <v>1</v>
      </c>
      <c r="T156" s="6">
        <v>0</v>
      </c>
      <c r="U156" s="6">
        <v>0</v>
      </c>
      <c r="V156">
        <v>48</v>
      </c>
      <c r="W156">
        <v>5.5</v>
      </c>
    </row>
    <row r="157" spans="2:23" x14ac:dyDescent="0.2">
      <c r="B157">
        <f t="shared" si="6"/>
        <v>16</v>
      </c>
      <c r="D157" t="s">
        <v>3</v>
      </c>
      <c r="H157" s="6"/>
      <c r="I157" s="6" t="s">
        <v>37</v>
      </c>
      <c r="J157" s="6"/>
      <c r="K157" s="6">
        <v>5</v>
      </c>
      <c r="O157" s="6"/>
      <c r="P157" s="6" t="s">
        <v>37</v>
      </c>
      <c r="Q157" s="6"/>
      <c r="R157" s="6">
        <v>9</v>
      </c>
      <c r="S157">
        <v>2</v>
      </c>
      <c r="T157" s="6">
        <v>0</v>
      </c>
      <c r="U157" s="6">
        <v>0</v>
      </c>
      <c r="V157">
        <v>48</v>
      </c>
      <c r="W157">
        <v>6</v>
      </c>
    </row>
    <row r="158" spans="2:23" x14ac:dyDescent="0.2">
      <c r="B158">
        <f t="shared" si="6"/>
        <v>17</v>
      </c>
      <c r="D158" t="s">
        <v>6</v>
      </c>
      <c r="H158" s="6"/>
      <c r="I158" s="6" t="s">
        <v>38</v>
      </c>
      <c r="J158" s="6"/>
      <c r="K158" s="6">
        <v>5</v>
      </c>
      <c r="O158" s="6"/>
      <c r="P158" s="6" t="s">
        <v>38</v>
      </c>
      <c r="Q158" s="6"/>
      <c r="R158" s="6">
        <v>10</v>
      </c>
      <c r="S158">
        <v>1</v>
      </c>
      <c r="T158" s="6">
        <v>0</v>
      </c>
      <c r="U158" s="6">
        <v>0</v>
      </c>
      <c r="V158">
        <v>47.5</v>
      </c>
      <c r="W158">
        <v>6.5</v>
      </c>
    </row>
    <row r="159" spans="2:23" x14ac:dyDescent="0.2">
      <c r="B159">
        <f t="shared" si="6"/>
        <v>18</v>
      </c>
      <c r="D159" t="s">
        <v>4</v>
      </c>
      <c r="H159" s="6"/>
      <c r="I159" s="6" t="s">
        <v>30</v>
      </c>
      <c r="J159" s="6"/>
      <c r="K159" s="6">
        <v>5</v>
      </c>
      <c r="O159" s="6"/>
      <c r="P159" s="6" t="s">
        <v>30</v>
      </c>
      <c r="Q159" s="6"/>
      <c r="R159" s="6">
        <v>12</v>
      </c>
      <c r="S159">
        <v>1</v>
      </c>
      <c r="T159" s="6">
        <v>0</v>
      </c>
      <c r="U159" s="6">
        <v>0</v>
      </c>
      <c r="V159">
        <v>48</v>
      </c>
      <c r="W159">
        <v>5</v>
      </c>
    </row>
    <row r="160" spans="2:23" x14ac:dyDescent="0.2">
      <c r="B160">
        <f t="shared" si="6"/>
        <v>19</v>
      </c>
      <c r="D160" t="s">
        <v>3</v>
      </c>
      <c r="H160" s="6"/>
      <c r="I160" s="6" t="s">
        <v>31</v>
      </c>
      <c r="J160" s="6"/>
      <c r="K160" s="6">
        <v>4</v>
      </c>
      <c r="O160" s="6"/>
      <c r="P160" s="6" t="s">
        <v>31</v>
      </c>
      <c r="Q160" s="6"/>
      <c r="R160" s="6">
        <v>14</v>
      </c>
      <c r="S160">
        <v>1</v>
      </c>
      <c r="T160" s="6">
        <v>0</v>
      </c>
      <c r="U160" s="6">
        <v>0</v>
      </c>
      <c r="V160">
        <v>48</v>
      </c>
      <c r="W160">
        <v>5.5</v>
      </c>
    </row>
    <row r="161" spans="1:23" x14ac:dyDescent="0.2">
      <c r="B161">
        <f t="shared" si="6"/>
        <v>20</v>
      </c>
      <c r="D161" t="s">
        <v>3</v>
      </c>
      <c r="H161" s="6"/>
      <c r="I161" s="6" t="s">
        <v>32</v>
      </c>
      <c r="J161" s="6"/>
      <c r="K161" s="7">
        <v>6</v>
      </c>
      <c r="O161" s="6"/>
      <c r="P161" s="6" t="s">
        <v>32</v>
      </c>
      <c r="Q161" s="6"/>
      <c r="R161" s="7">
        <v>12</v>
      </c>
      <c r="S161">
        <v>1</v>
      </c>
      <c r="T161" s="6">
        <v>0</v>
      </c>
      <c r="U161" s="6">
        <v>0</v>
      </c>
      <c r="V161">
        <v>48.5</v>
      </c>
      <c r="W161">
        <v>5.5</v>
      </c>
    </row>
    <row r="162" spans="1:23" x14ac:dyDescent="0.2">
      <c r="H162" s="6"/>
      <c r="I162" s="6" t="s">
        <v>39</v>
      </c>
      <c r="J162" s="6"/>
      <c r="K162" s="7">
        <v>6</v>
      </c>
      <c r="O162" s="6"/>
      <c r="P162" s="6" t="s">
        <v>39</v>
      </c>
      <c r="Q162" s="6"/>
      <c r="R162" s="7">
        <v>4</v>
      </c>
      <c r="S162">
        <v>0</v>
      </c>
      <c r="T162" s="6">
        <v>0</v>
      </c>
      <c r="U162" s="6">
        <v>0</v>
      </c>
    </row>
    <row r="163" spans="1:23" x14ac:dyDescent="0.2">
      <c r="A163" s="1">
        <v>46157</v>
      </c>
      <c r="H163" s="6"/>
      <c r="I163" s="6" t="s">
        <v>40</v>
      </c>
      <c r="J163" s="6"/>
      <c r="K163" s="7">
        <v>6</v>
      </c>
      <c r="O163" s="6"/>
      <c r="P163" s="6" t="s">
        <v>40</v>
      </c>
      <c r="Q163" s="6"/>
      <c r="R163" s="7">
        <v>5</v>
      </c>
      <c r="S163">
        <v>0</v>
      </c>
      <c r="T163" s="6">
        <v>0</v>
      </c>
      <c r="U163" s="6">
        <v>0</v>
      </c>
    </row>
    <row r="164" spans="1:23" x14ac:dyDescent="0.2">
      <c r="B164" t="s">
        <v>0</v>
      </c>
      <c r="D164" t="s">
        <v>1</v>
      </c>
      <c r="H164" s="6"/>
      <c r="I164" s="6" t="s">
        <v>41</v>
      </c>
      <c r="J164" s="6"/>
      <c r="K164" s="7">
        <v>5</v>
      </c>
      <c r="O164" s="6"/>
      <c r="P164" s="6" t="s">
        <v>41</v>
      </c>
      <c r="Q164" s="6"/>
      <c r="R164" s="7">
        <v>5</v>
      </c>
      <c r="S164">
        <v>0</v>
      </c>
      <c r="T164" s="6">
        <v>0</v>
      </c>
      <c r="U164" s="6">
        <v>0</v>
      </c>
    </row>
    <row r="165" spans="1:23" x14ac:dyDescent="0.2">
      <c r="B165">
        <v>1</v>
      </c>
      <c r="D165" t="s">
        <v>4</v>
      </c>
    </row>
    <row r="166" spans="1:23" x14ac:dyDescent="0.2">
      <c r="B166">
        <f>B165+1</f>
        <v>2</v>
      </c>
      <c r="D166" t="s">
        <v>5</v>
      </c>
      <c r="H166" s="5">
        <v>46185</v>
      </c>
      <c r="I166" s="6"/>
      <c r="J166" s="6"/>
      <c r="K166" s="6"/>
      <c r="O166" s="5">
        <v>46215</v>
      </c>
      <c r="P166" s="6"/>
      <c r="Q166" s="6"/>
      <c r="R166" s="6" t="s">
        <v>55</v>
      </c>
      <c r="S166" t="s">
        <v>56</v>
      </c>
      <c r="T166" s="6" t="s">
        <v>57</v>
      </c>
      <c r="U166" s="6" t="s">
        <v>63</v>
      </c>
      <c r="V166" s="6" t="s">
        <v>65</v>
      </c>
      <c r="W166" s="6" t="s">
        <v>66</v>
      </c>
    </row>
    <row r="167" spans="1:23" x14ac:dyDescent="0.2">
      <c r="B167">
        <f t="shared" ref="B167:B184" si="7">B166+1</f>
        <v>3</v>
      </c>
      <c r="H167" s="6"/>
      <c r="I167" s="6" t="s">
        <v>0</v>
      </c>
      <c r="J167" s="6"/>
      <c r="K167" s="6" t="s">
        <v>1</v>
      </c>
      <c r="O167" s="6"/>
      <c r="P167" s="6" t="s">
        <v>0</v>
      </c>
      <c r="Q167" s="6"/>
      <c r="R167" s="6">
        <v>11</v>
      </c>
      <c r="S167">
        <v>0</v>
      </c>
      <c r="T167" s="6">
        <v>0</v>
      </c>
      <c r="U167" s="6">
        <v>0</v>
      </c>
      <c r="V167">
        <v>47.5</v>
      </c>
      <c r="W167">
        <v>6</v>
      </c>
    </row>
    <row r="168" spans="1:23" x14ac:dyDescent="0.2">
      <c r="B168">
        <f t="shared" si="7"/>
        <v>4</v>
      </c>
      <c r="D168" t="s">
        <v>7</v>
      </c>
      <c r="H168" s="6"/>
      <c r="I168" s="6" t="s">
        <v>33</v>
      </c>
      <c r="J168" s="6"/>
      <c r="K168" s="6">
        <v>6</v>
      </c>
      <c r="O168" s="6"/>
      <c r="P168" s="6" t="s">
        <v>33</v>
      </c>
      <c r="Q168" s="6"/>
      <c r="R168" s="6">
        <v>11</v>
      </c>
      <c r="S168">
        <v>0</v>
      </c>
      <c r="T168" s="6">
        <v>0</v>
      </c>
      <c r="U168" s="6">
        <v>0</v>
      </c>
      <c r="V168">
        <v>48</v>
      </c>
      <c r="W168">
        <v>6</v>
      </c>
    </row>
    <row r="169" spans="1:23" x14ac:dyDescent="0.2">
      <c r="B169">
        <f t="shared" si="7"/>
        <v>5</v>
      </c>
      <c r="D169" t="s">
        <v>3</v>
      </c>
      <c r="H169" s="6"/>
      <c r="I169" s="6" t="s">
        <v>34</v>
      </c>
      <c r="J169" s="6"/>
      <c r="K169" s="6">
        <v>6</v>
      </c>
      <c r="O169" s="6"/>
      <c r="P169" s="6" t="s">
        <v>34</v>
      </c>
      <c r="Q169" s="6"/>
      <c r="R169" s="6">
        <v>12</v>
      </c>
      <c r="S169">
        <v>3</v>
      </c>
      <c r="T169" s="6">
        <v>0</v>
      </c>
      <c r="U169" s="6">
        <v>0</v>
      </c>
      <c r="V169">
        <v>47</v>
      </c>
      <c r="W169">
        <v>6</v>
      </c>
    </row>
    <row r="170" spans="1:23" x14ac:dyDescent="0.2">
      <c r="B170">
        <f t="shared" si="7"/>
        <v>6</v>
      </c>
      <c r="D170" t="s">
        <v>6</v>
      </c>
      <c r="H170" s="6"/>
      <c r="I170" s="6" t="s">
        <v>35</v>
      </c>
      <c r="J170" s="6"/>
      <c r="K170" s="6">
        <v>7</v>
      </c>
      <c r="O170" s="6"/>
      <c r="P170" s="6" t="s">
        <v>35</v>
      </c>
      <c r="Q170" s="6"/>
      <c r="R170" s="6">
        <v>12</v>
      </c>
      <c r="S170">
        <v>1</v>
      </c>
      <c r="T170" s="6">
        <v>0</v>
      </c>
      <c r="U170" s="6">
        <v>0</v>
      </c>
      <c r="V170">
        <v>48</v>
      </c>
      <c r="W170">
        <v>6</v>
      </c>
    </row>
    <row r="171" spans="1:23" x14ac:dyDescent="0.2">
      <c r="B171">
        <f t="shared" si="7"/>
        <v>7</v>
      </c>
      <c r="D171" t="s">
        <v>3</v>
      </c>
      <c r="H171" s="6"/>
      <c r="I171" s="6" t="s">
        <v>36</v>
      </c>
      <c r="J171" s="6"/>
      <c r="K171" s="6">
        <v>5</v>
      </c>
      <c r="O171" s="6"/>
      <c r="P171" s="6" t="s">
        <v>36</v>
      </c>
      <c r="Q171" s="6"/>
      <c r="R171" s="6">
        <v>11</v>
      </c>
      <c r="S171">
        <v>2</v>
      </c>
      <c r="T171" s="6">
        <v>0</v>
      </c>
      <c r="U171" s="6">
        <v>0</v>
      </c>
      <c r="V171">
        <v>48</v>
      </c>
      <c r="W171">
        <v>6.5</v>
      </c>
    </row>
    <row r="172" spans="1:23" x14ac:dyDescent="0.2">
      <c r="B172">
        <f t="shared" si="7"/>
        <v>8</v>
      </c>
      <c r="D172" t="s">
        <v>3</v>
      </c>
      <c r="H172" s="6"/>
      <c r="I172" s="6" t="s">
        <v>37</v>
      </c>
      <c r="J172" s="6"/>
      <c r="K172" s="6">
        <v>5</v>
      </c>
      <c r="O172" s="6"/>
      <c r="P172" s="6" t="s">
        <v>37</v>
      </c>
      <c r="Q172" s="6"/>
      <c r="R172" s="6">
        <v>12</v>
      </c>
      <c r="S172">
        <v>1</v>
      </c>
      <c r="T172" s="6">
        <v>0</v>
      </c>
      <c r="U172" s="6">
        <v>0</v>
      </c>
      <c r="V172">
        <v>47.5</v>
      </c>
      <c r="W172">
        <v>6.5</v>
      </c>
    </row>
    <row r="173" spans="1:23" x14ac:dyDescent="0.2">
      <c r="B173">
        <f t="shared" si="7"/>
        <v>9</v>
      </c>
      <c r="D173" t="s">
        <v>4</v>
      </c>
      <c r="H173" s="6"/>
      <c r="I173" s="6" t="s">
        <v>38</v>
      </c>
      <c r="J173" s="6"/>
      <c r="K173" s="6">
        <v>5</v>
      </c>
      <c r="O173" s="6"/>
      <c r="P173" s="6" t="s">
        <v>38</v>
      </c>
      <c r="Q173" s="6"/>
      <c r="R173" s="6">
        <v>13</v>
      </c>
      <c r="S173">
        <v>1</v>
      </c>
      <c r="T173" s="6">
        <v>0</v>
      </c>
      <c r="U173" s="6">
        <v>0</v>
      </c>
      <c r="V173">
        <v>48</v>
      </c>
      <c r="W173">
        <v>5</v>
      </c>
    </row>
    <row r="174" spans="1:23" x14ac:dyDescent="0.2">
      <c r="B174">
        <f t="shared" si="7"/>
        <v>10</v>
      </c>
      <c r="D174" t="s">
        <v>3</v>
      </c>
      <c r="H174" s="6"/>
      <c r="I174" s="6" t="s">
        <v>30</v>
      </c>
      <c r="J174" s="6"/>
      <c r="K174" s="6">
        <v>5</v>
      </c>
      <c r="O174" s="6"/>
      <c r="P174" s="6" t="s">
        <v>30</v>
      </c>
      <c r="Q174" s="6"/>
      <c r="R174" s="6">
        <v>15</v>
      </c>
      <c r="S174">
        <v>1</v>
      </c>
      <c r="T174" s="6">
        <v>0</v>
      </c>
      <c r="U174" s="6">
        <v>0</v>
      </c>
      <c r="V174">
        <v>48</v>
      </c>
      <c r="W174">
        <v>6</v>
      </c>
    </row>
    <row r="175" spans="1:23" x14ac:dyDescent="0.2">
      <c r="B175">
        <f t="shared" si="7"/>
        <v>11</v>
      </c>
      <c r="D175" t="s">
        <v>8</v>
      </c>
      <c r="H175" s="6"/>
      <c r="I175" s="6" t="s">
        <v>31</v>
      </c>
      <c r="J175" s="6"/>
      <c r="K175" s="6">
        <v>5</v>
      </c>
      <c r="O175" s="6"/>
      <c r="P175" s="6" t="s">
        <v>31</v>
      </c>
      <c r="Q175" s="6"/>
      <c r="R175" s="6">
        <v>13</v>
      </c>
      <c r="S175">
        <v>1</v>
      </c>
      <c r="T175" s="6">
        <v>0</v>
      </c>
      <c r="U175" s="6">
        <v>0</v>
      </c>
      <c r="V175">
        <v>48.5</v>
      </c>
      <c r="W175">
        <v>5.5</v>
      </c>
    </row>
    <row r="176" spans="1:23" x14ac:dyDescent="0.2">
      <c r="B176">
        <f t="shared" si="7"/>
        <v>12</v>
      </c>
      <c r="D176" t="s">
        <v>6</v>
      </c>
      <c r="H176" s="6"/>
      <c r="I176" s="6" t="s">
        <v>32</v>
      </c>
      <c r="J176" s="6"/>
      <c r="K176" s="7">
        <v>6</v>
      </c>
      <c r="O176" s="6"/>
      <c r="P176" s="6" t="s">
        <v>32</v>
      </c>
      <c r="Q176" s="6"/>
      <c r="R176" s="7">
        <v>5</v>
      </c>
      <c r="S176">
        <v>0</v>
      </c>
      <c r="T176" s="6">
        <v>0</v>
      </c>
      <c r="U176" s="6">
        <v>0</v>
      </c>
    </row>
    <row r="177" spans="1:23" x14ac:dyDescent="0.2">
      <c r="B177">
        <f t="shared" si="7"/>
        <v>13</v>
      </c>
      <c r="D177" t="s">
        <v>3</v>
      </c>
      <c r="H177" s="6"/>
      <c r="I177" s="6" t="s">
        <v>39</v>
      </c>
      <c r="J177" s="6"/>
      <c r="K177" s="7">
        <v>6</v>
      </c>
      <c r="O177" s="6"/>
      <c r="P177" s="6" t="s">
        <v>39</v>
      </c>
      <c r="Q177" s="6"/>
      <c r="R177" s="7">
        <v>5</v>
      </c>
      <c r="S177">
        <v>0</v>
      </c>
      <c r="T177" s="6">
        <v>0</v>
      </c>
      <c r="U177" s="6">
        <v>0</v>
      </c>
    </row>
    <row r="178" spans="1:23" x14ac:dyDescent="0.2">
      <c r="B178">
        <f t="shared" si="7"/>
        <v>14</v>
      </c>
      <c r="D178" t="s">
        <v>3</v>
      </c>
      <c r="H178" s="6"/>
      <c r="I178" s="6" t="s">
        <v>40</v>
      </c>
      <c r="J178" s="6"/>
      <c r="K178" s="7">
        <v>6</v>
      </c>
      <c r="O178" s="6"/>
      <c r="P178" s="6" t="s">
        <v>40</v>
      </c>
      <c r="Q178" s="6"/>
      <c r="R178" s="7">
        <v>5</v>
      </c>
      <c r="S178">
        <v>0</v>
      </c>
      <c r="T178" s="6">
        <v>0</v>
      </c>
      <c r="U178" s="6">
        <v>0</v>
      </c>
    </row>
    <row r="179" spans="1:23" x14ac:dyDescent="0.2">
      <c r="B179">
        <f t="shared" si="7"/>
        <v>15</v>
      </c>
      <c r="D179" t="s">
        <v>5</v>
      </c>
      <c r="H179" s="6"/>
      <c r="I179" s="6" t="s">
        <v>41</v>
      </c>
      <c r="J179" s="6"/>
      <c r="K179" s="7">
        <v>5</v>
      </c>
      <c r="O179" s="6"/>
      <c r="P179" s="6" t="s">
        <v>41</v>
      </c>
      <c r="Q179" s="6"/>
      <c r="R179" s="7"/>
    </row>
    <row r="180" spans="1:23" x14ac:dyDescent="0.2">
      <c r="B180">
        <f t="shared" si="7"/>
        <v>16</v>
      </c>
      <c r="D180" t="s">
        <v>3</v>
      </c>
    </row>
    <row r="181" spans="1:23" x14ac:dyDescent="0.2">
      <c r="B181">
        <f t="shared" si="7"/>
        <v>17</v>
      </c>
      <c r="D181" t="s">
        <v>6</v>
      </c>
      <c r="H181" s="5">
        <v>46186</v>
      </c>
      <c r="I181" s="6"/>
      <c r="J181" s="6"/>
      <c r="K181" s="6"/>
      <c r="O181" s="5">
        <v>46216</v>
      </c>
      <c r="P181" s="6"/>
      <c r="Q181" s="6"/>
      <c r="R181" s="6"/>
    </row>
    <row r="182" spans="1:23" x14ac:dyDescent="0.2">
      <c r="B182">
        <f t="shared" si="7"/>
        <v>18</v>
      </c>
      <c r="D182" t="s">
        <v>4</v>
      </c>
      <c r="H182" s="6"/>
      <c r="I182" s="6" t="s">
        <v>0</v>
      </c>
      <c r="J182" s="6"/>
      <c r="K182" s="6" t="s">
        <v>1</v>
      </c>
      <c r="O182" s="6"/>
      <c r="P182" s="6" t="s">
        <v>0</v>
      </c>
      <c r="Q182" s="6"/>
      <c r="R182" s="6" t="s">
        <v>55</v>
      </c>
      <c r="S182" t="s">
        <v>56</v>
      </c>
      <c r="T182" s="6" t="s">
        <v>57</v>
      </c>
      <c r="U182" s="6" t="s">
        <v>63</v>
      </c>
      <c r="V182" s="6" t="s">
        <v>65</v>
      </c>
      <c r="W182" s="6" t="s">
        <v>66</v>
      </c>
    </row>
    <row r="183" spans="1:23" x14ac:dyDescent="0.2">
      <c r="B183">
        <f t="shared" si="7"/>
        <v>19</v>
      </c>
      <c r="D183" t="s">
        <v>3</v>
      </c>
      <c r="H183" s="6"/>
      <c r="I183" s="6" t="s">
        <v>33</v>
      </c>
      <c r="J183" s="6"/>
      <c r="K183" s="6">
        <v>7</v>
      </c>
      <c r="O183" s="6"/>
      <c r="P183" s="6" t="s">
        <v>33</v>
      </c>
      <c r="Q183" s="6"/>
      <c r="R183" s="6">
        <v>11</v>
      </c>
      <c r="S183">
        <v>0</v>
      </c>
      <c r="T183" s="6">
        <v>0</v>
      </c>
      <c r="U183" s="6">
        <v>0</v>
      </c>
      <c r="V183">
        <v>47.5</v>
      </c>
      <c r="W183">
        <v>6</v>
      </c>
    </row>
    <row r="184" spans="1:23" x14ac:dyDescent="0.2">
      <c r="B184">
        <f t="shared" si="7"/>
        <v>20</v>
      </c>
      <c r="D184" t="s">
        <v>3</v>
      </c>
      <c r="H184" s="6"/>
      <c r="I184" s="6" t="s">
        <v>34</v>
      </c>
      <c r="J184" s="6"/>
      <c r="K184" s="6">
        <v>6</v>
      </c>
      <c r="O184" s="6"/>
      <c r="P184" s="6" t="s">
        <v>34</v>
      </c>
      <c r="Q184" s="6"/>
      <c r="R184" s="6">
        <v>12</v>
      </c>
      <c r="S184">
        <v>2</v>
      </c>
      <c r="T184" s="6">
        <v>0</v>
      </c>
      <c r="U184" s="6">
        <v>0</v>
      </c>
      <c r="V184">
        <v>48</v>
      </c>
      <c r="W184">
        <v>6.5</v>
      </c>
    </row>
    <row r="185" spans="1:23" x14ac:dyDescent="0.2">
      <c r="H185" s="6"/>
      <c r="I185" s="6" t="s">
        <v>35</v>
      </c>
      <c r="J185" s="6"/>
      <c r="K185" s="6">
        <v>7</v>
      </c>
      <c r="O185" s="6"/>
      <c r="P185" s="6" t="s">
        <v>35</v>
      </c>
      <c r="Q185" s="6"/>
      <c r="R185" s="6">
        <v>12</v>
      </c>
      <c r="S185">
        <v>4</v>
      </c>
      <c r="T185" s="6">
        <v>0</v>
      </c>
      <c r="U185" s="6">
        <v>0</v>
      </c>
      <c r="V185">
        <v>47</v>
      </c>
      <c r="W185">
        <v>6</v>
      </c>
    </row>
    <row r="186" spans="1:23" x14ac:dyDescent="0.2">
      <c r="A186" s="1">
        <v>46158</v>
      </c>
      <c r="H186" s="6"/>
      <c r="I186" s="6" t="s">
        <v>36</v>
      </c>
      <c r="J186" s="6"/>
      <c r="K186" s="6">
        <v>5</v>
      </c>
      <c r="O186" s="6"/>
      <c r="P186" s="6" t="s">
        <v>36</v>
      </c>
      <c r="Q186" s="6"/>
      <c r="R186" s="6">
        <v>13</v>
      </c>
      <c r="S186">
        <v>3</v>
      </c>
      <c r="T186" s="6">
        <v>0</v>
      </c>
      <c r="U186" s="6">
        <v>0</v>
      </c>
      <c r="V186">
        <v>48</v>
      </c>
      <c r="W186">
        <v>6</v>
      </c>
    </row>
    <row r="187" spans="1:23" x14ac:dyDescent="0.2">
      <c r="B187" t="s">
        <v>0</v>
      </c>
      <c r="D187" t="s">
        <v>1</v>
      </c>
      <c r="H187" s="6"/>
      <c r="I187" s="6" t="s">
        <v>37</v>
      </c>
      <c r="J187" s="6"/>
      <c r="K187" s="6">
        <v>5</v>
      </c>
      <c r="O187" s="6"/>
      <c r="P187" s="6" t="s">
        <v>37</v>
      </c>
      <c r="Q187" s="6"/>
      <c r="R187" s="6">
        <v>12</v>
      </c>
      <c r="S187">
        <v>4</v>
      </c>
      <c r="T187" s="6">
        <v>0</v>
      </c>
      <c r="U187" s="6">
        <v>0</v>
      </c>
      <c r="V187">
        <v>48</v>
      </c>
      <c r="W187">
        <v>6.5</v>
      </c>
    </row>
    <row r="188" spans="1:23" x14ac:dyDescent="0.2">
      <c r="B188">
        <v>1</v>
      </c>
      <c r="D188" t="s">
        <v>4</v>
      </c>
      <c r="H188" s="6"/>
      <c r="I188" s="6" t="s">
        <v>38</v>
      </c>
      <c r="J188" s="6"/>
      <c r="K188" s="6">
        <v>5</v>
      </c>
      <c r="O188" s="6"/>
      <c r="P188" s="6" t="s">
        <v>38</v>
      </c>
      <c r="Q188" s="6"/>
      <c r="R188" s="6">
        <v>13</v>
      </c>
      <c r="S188">
        <v>2</v>
      </c>
      <c r="T188" s="6">
        <v>0</v>
      </c>
      <c r="U188" s="6">
        <v>0</v>
      </c>
      <c r="V188">
        <v>47.5</v>
      </c>
      <c r="W188">
        <v>6.5</v>
      </c>
    </row>
    <row r="189" spans="1:23" x14ac:dyDescent="0.2">
      <c r="B189">
        <f>B188+1</f>
        <v>2</v>
      </c>
      <c r="D189" t="s">
        <v>5</v>
      </c>
      <c r="H189" s="6"/>
      <c r="I189" s="6" t="s">
        <v>30</v>
      </c>
      <c r="J189" s="6"/>
      <c r="K189" s="6">
        <v>5</v>
      </c>
      <c r="O189" s="6"/>
      <c r="P189" s="6" t="s">
        <v>30</v>
      </c>
      <c r="Q189" s="6"/>
      <c r="R189" s="6">
        <v>14</v>
      </c>
      <c r="S189">
        <v>4</v>
      </c>
      <c r="T189" s="6">
        <v>0</v>
      </c>
      <c r="U189" s="6">
        <v>0</v>
      </c>
      <c r="V189">
        <v>48</v>
      </c>
      <c r="W189">
        <v>5.5</v>
      </c>
    </row>
    <row r="190" spans="1:23" x14ac:dyDescent="0.2">
      <c r="B190">
        <f t="shared" ref="B190:B207" si="8">B189+1</f>
        <v>3</v>
      </c>
      <c r="H190" s="6"/>
      <c r="I190" s="6" t="s">
        <v>31</v>
      </c>
      <c r="J190" s="6"/>
      <c r="K190" s="6">
        <v>5</v>
      </c>
      <c r="O190" s="6"/>
      <c r="P190" s="6" t="s">
        <v>31</v>
      </c>
      <c r="Q190" s="6"/>
      <c r="R190" s="6">
        <v>15</v>
      </c>
      <c r="S190">
        <v>3</v>
      </c>
      <c r="T190" s="6">
        <v>0</v>
      </c>
      <c r="U190" s="6">
        <v>0</v>
      </c>
      <c r="V190">
        <v>48</v>
      </c>
      <c r="W190">
        <v>6.5</v>
      </c>
    </row>
    <row r="191" spans="1:23" x14ac:dyDescent="0.2">
      <c r="B191">
        <f t="shared" si="8"/>
        <v>4</v>
      </c>
      <c r="D191" t="s">
        <v>7</v>
      </c>
      <c r="H191" s="6"/>
      <c r="I191" s="6" t="s">
        <v>32</v>
      </c>
      <c r="J191" s="6"/>
      <c r="K191" s="7">
        <v>6</v>
      </c>
      <c r="O191" s="6"/>
      <c r="P191" s="6" t="s">
        <v>32</v>
      </c>
      <c r="Q191" s="6"/>
      <c r="R191" s="7">
        <v>14</v>
      </c>
      <c r="S191">
        <v>2</v>
      </c>
      <c r="T191" s="6">
        <v>0</v>
      </c>
      <c r="U191" s="6">
        <v>0</v>
      </c>
      <c r="V191">
        <v>48.5</v>
      </c>
      <c r="W191">
        <v>5.5</v>
      </c>
    </row>
    <row r="192" spans="1:23" x14ac:dyDescent="0.2">
      <c r="B192">
        <f t="shared" si="8"/>
        <v>5</v>
      </c>
      <c r="D192" t="s">
        <v>3</v>
      </c>
      <c r="H192" s="6"/>
      <c r="I192" s="6" t="s">
        <v>39</v>
      </c>
      <c r="J192" s="6"/>
      <c r="K192" s="7">
        <v>6</v>
      </c>
      <c r="O192" s="6"/>
      <c r="P192" s="6" t="s">
        <v>39</v>
      </c>
      <c r="Q192" s="6"/>
      <c r="R192" s="7">
        <v>5</v>
      </c>
      <c r="S192">
        <v>0</v>
      </c>
      <c r="T192" s="6">
        <v>0</v>
      </c>
      <c r="U192" s="6">
        <v>0</v>
      </c>
    </row>
    <row r="193" spans="2:23" x14ac:dyDescent="0.2">
      <c r="B193">
        <f t="shared" si="8"/>
        <v>6</v>
      </c>
      <c r="D193" t="s">
        <v>6</v>
      </c>
      <c r="H193" s="6"/>
      <c r="I193" s="6" t="s">
        <v>40</v>
      </c>
      <c r="J193" s="6"/>
      <c r="K193" s="7">
        <v>6</v>
      </c>
      <c r="O193" s="6"/>
      <c r="P193" s="6" t="s">
        <v>40</v>
      </c>
      <c r="Q193" s="6"/>
      <c r="R193" s="7">
        <v>5</v>
      </c>
      <c r="S193">
        <v>0</v>
      </c>
      <c r="T193" s="6">
        <v>0</v>
      </c>
      <c r="U193" s="6">
        <v>0</v>
      </c>
    </row>
    <row r="194" spans="2:23" x14ac:dyDescent="0.2">
      <c r="B194">
        <f t="shared" si="8"/>
        <v>7</v>
      </c>
      <c r="D194" t="s">
        <v>3</v>
      </c>
      <c r="H194" s="6"/>
      <c r="I194" s="6" t="s">
        <v>41</v>
      </c>
      <c r="J194" s="6"/>
      <c r="K194" s="7">
        <v>5</v>
      </c>
      <c r="O194" s="6"/>
      <c r="P194" s="6" t="s">
        <v>41</v>
      </c>
      <c r="Q194" s="6"/>
      <c r="R194" s="7">
        <v>5</v>
      </c>
      <c r="S194">
        <v>0</v>
      </c>
      <c r="T194" s="6">
        <v>0</v>
      </c>
      <c r="U194" s="6">
        <v>0</v>
      </c>
    </row>
    <row r="195" spans="2:23" x14ac:dyDescent="0.2">
      <c r="B195">
        <f t="shared" si="8"/>
        <v>8</v>
      </c>
      <c r="D195" t="s">
        <v>3</v>
      </c>
    </row>
    <row r="196" spans="2:23" x14ac:dyDescent="0.2">
      <c r="B196">
        <f t="shared" si="8"/>
        <v>9</v>
      </c>
      <c r="D196" t="s">
        <v>4</v>
      </c>
      <c r="H196" s="5">
        <v>46187</v>
      </c>
      <c r="I196" s="6"/>
      <c r="J196" s="6"/>
      <c r="K196" s="6"/>
      <c r="O196" s="5">
        <v>46217</v>
      </c>
      <c r="P196" s="6"/>
      <c r="Q196" s="6"/>
      <c r="R196" s="6"/>
    </row>
    <row r="197" spans="2:23" x14ac:dyDescent="0.2">
      <c r="B197">
        <f t="shared" si="8"/>
        <v>10</v>
      </c>
      <c r="D197" t="s">
        <v>3</v>
      </c>
      <c r="H197" s="6"/>
      <c r="I197" s="6" t="s">
        <v>0</v>
      </c>
      <c r="J197" s="6"/>
      <c r="K197" s="6" t="s">
        <v>1</v>
      </c>
      <c r="O197" s="6"/>
      <c r="P197" s="6" t="s">
        <v>0</v>
      </c>
      <c r="Q197" s="6"/>
      <c r="R197" s="6" t="s">
        <v>55</v>
      </c>
      <c r="S197" t="s">
        <v>56</v>
      </c>
      <c r="T197" s="6" t="s">
        <v>57</v>
      </c>
      <c r="U197" s="6" t="s">
        <v>63</v>
      </c>
      <c r="V197" s="6" t="s">
        <v>65</v>
      </c>
      <c r="W197" s="6" t="s">
        <v>66</v>
      </c>
    </row>
    <row r="198" spans="2:23" x14ac:dyDescent="0.2">
      <c r="B198">
        <f t="shared" si="8"/>
        <v>11</v>
      </c>
      <c r="D198" t="s">
        <v>8</v>
      </c>
      <c r="H198" s="6"/>
      <c r="I198" s="6" t="s">
        <v>33</v>
      </c>
      <c r="J198" s="6"/>
      <c r="K198" s="6">
        <v>7</v>
      </c>
      <c r="O198" s="6"/>
      <c r="P198" s="6" t="s">
        <v>33</v>
      </c>
      <c r="Q198" s="6"/>
      <c r="R198" s="6">
        <v>13</v>
      </c>
      <c r="S198">
        <v>2</v>
      </c>
      <c r="T198">
        <v>0</v>
      </c>
      <c r="U198" s="6">
        <v>0</v>
      </c>
      <c r="V198">
        <v>47.5</v>
      </c>
      <c r="W198">
        <v>6</v>
      </c>
    </row>
    <row r="199" spans="2:23" x14ac:dyDescent="0.2">
      <c r="B199">
        <f t="shared" si="8"/>
        <v>12</v>
      </c>
      <c r="D199" t="s">
        <v>6</v>
      </c>
      <c r="H199" s="6"/>
      <c r="I199" s="6" t="s">
        <v>34</v>
      </c>
      <c r="J199" s="6"/>
      <c r="K199" s="6">
        <v>6</v>
      </c>
      <c r="O199" s="6"/>
      <c r="P199" s="6" t="s">
        <v>34</v>
      </c>
      <c r="Q199" s="6"/>
      <c r="R199" s="6">
        <v>14</v>
      </c>
      <c r="S199">
        <v>0</v>
      </c>
      <c r="T199">
        <v>0</v>
      </c>
      <c r="U199" s="6">
        <v>0</v>
      </c>
      <c r="V199">
        <v>48</v>
      </c>
      <c r="W199">
        <v>6.5</v>
      </c>
    </row>
    <row r="200" spans="2:23" x14ac:dyDescent="0.2">
      <c r="B200">
        <f t="shared" si="8"/>
        <v>13</v>
      </c>
      <c r="D200" t="s">
        <v>3</v>
      </c>
      <c r="H200" s="6"/>
      <c r="I200" s="6" t="s">
        <v>35</v>
      </c>
      <c r="J200" s="6"/>
      <c r="K200" s="6">
        <v>7</v>
      </c>
      <c r="O200" s="6"/>
      <c r="P200" s="6" t="s">
        <v>35</v>
      </c>
      <c r="Q200" s="6"/>
      <c r="R200" s="6">
        <v>14</v>
      </c>
      <c r="S200">
        <v>3</v>
      </c>
      <c r="T200">
        <v>1</v>
      </c>
      <c r="U200" s="6">
        <v>0</v>
      </c>
      <c r="V200">
        <v>47</v>
      </c>
      <c r="W200">
        <v>6</v>
      </c>
    </row>
    <row r="201" spans="2:23" x14ac:dyDescent="0.2">
      <c r="B201">
        <f t="shared" si="8"/>
        <v>14</v>
      </c>
      <c r="D201" t="s">
        <v>3</v>
      </c>
      <c r="H201" s="6"/>
      <c r="I201" s="6" t="s">
        <v>36</v>
      </c>
      <c r="J201" s="6"/>
      <c r="K201" s="6">
        <v>5</v>
      </c>
      <c r="O201" s="6"/>
      <c r="P201" s="6" t="s">
        <v>36</v>
      </c>
      <c r="Q201" s="6"/>
      <c r="R201" s="6">
        <v>13</v>
      </c>
      <c r="S201">
        <v>4</v>
      </c>
      <c r="T201">
        <v>0</v>
      </c>
      <c r="U201" s="6">
        <v>0</v>
      </c>
      <c r="V201">
        <v>48</v>
      </c>
      <c r="W201">
        <v>6</v>
      </c>
    </row>
    <row r="202" spans="2:23" x14ac:dyDescent="0.2">
      <c r="B202">
        <f t="shared" si="8"/>
        <v>15</v>
      </c>
      <c r="D202" t="s">
        <v>5</v>
      </c>
      <c r="H202" s="6"/>
      <c r="I202" s="6" t="s">
        <v>37</v>
      </c>
      <c r="J202" s="6"/>
      <c r="K202" s="6">
        <v>5</v>
      </c>
      <c r="O202" s="6"/>
      <c r="P202" s="6" t="s">
        <v>37</v>
      </c>
      <c r="Q202" s="6"/>
      <c r="R202" s="6">
        <v>15</v>
      </c>
      <c r="S202">
        <v>5</v>
      </c>
      <c r="T202">
        <v>0</v>
      </c>
      <c r="U202" s="6">
        <v>0</v>
      </c>
      <c r="V202">
        <v>48</v>
      </c>
      <c r="W202">
        <v>6.5</v>
      </c>
    </row>
    <row r="203" spans="2:23" x14ac:dyDescent="0.2">
      <c r="B203">
        <f t="shared" si="8"/>
        <v>16</v>
      </c>
      <c r="D203" t="s">
        <v>3</v>
      </c>
      <c r="H203" s="6"/>
      <c r="I203" s="6" t="s">
        <v>38</v>
      </c>
      <c r="J203" s="6"/>
      <c r="K203" s="6">
        <v>5</v>
      </c>
      <c r="O203" s="6"/>
      <c r="P203" s="6" t="s">
        <v>38</v>
      </c>
      <c r="Q203" s="6"/>
      <c r="R203" s="6">
        <v>16</v>
      </c>
      <c r="S203">
        <v>3</v>
      </c>
      <c r="T203">
        <v>0</v>
      </c>
      <c r="U203" s="6">
        <v>0</v>
      </c>
      <c r="V203">
        <v>47.5</v>
      </c>
      <c r="W203">
        <v>6.5</v>
      </c>
    </row>
    <row r="204" spans="2:23" x14ac:dyDescent="0.2">
      <c r="B204">
        <f t="shared" si="8"/>
        <v>17</v>
      </c>
      <c r="D204" t="s">
        <v>6</v>
      </c>
      <c r="H204" s="6"/>
      <c r="I204" s="6" t="s">
        <v>30</v>
      </c>
      <c r="J204" s="6"/>
      <c r="K204" s="6">
        <v>5</v>
      </c>
      <c r="O204" s="6"/>
      <c r="P204" s="6" t="s">
        <v>30</v>
      </c>
      <c r="Q204" s="6"/>
      <c r="R204" s="6">
        <v>16</v>
      </c>
      <c r="S204">
        <v>4</v>
      </c>
      <c r="T204">
        <v>0</v>
      </c>
      <c r="U204" s="6">
        <v>0</v>
      </c>
      <c r="V204">
        <v>48</v>
      </c>
      <c r="W204">
        <v>5.5</v>
      </c>
    </row>
    <row r="205" spans="2:23" x14ac:dyDescent="0.2">
      <c r="B205">
        <f t="shared" si="8"/>
        <v>18</v>
      </c>
      <c r="D205" t="s">
        <v>4</v>
      </c>
      <c r="H205" s="6"/>
      <c r="I205" s="6" t="s">
        <v>31</v>
      </c>
      <c r="J205" s="6"/>
      <c r="K205" s="6">
        <v>5</v>
      </c>
      <c r="O205" s="6"/>
      <c r="P205" s="6" t="s">
        <v>31</v>
      </c>
      <c r="Q205" s="6"/>
      <c r="R205" s="6">
        <v>18</v>
      </c>
      <c r="S205">
        <v>4</v>
      </c>
      <c r="T205">
        <v>0</v>
      </c>
      <c r="U205" s="6">
        <v>0</v>
      </c>
      <c r="V205">
        <v>48</v>
      </c>
      <c r="W205">
        <v>6.5</v>
      </c>
    </row>
    <row r="206" spans="2:23" x14ac:dyDescent="0.2">
      <c r="B206">
        <f t="shared" si="8"/>
        <v>19</v>
      </c>
      <c r="D206" t="s">
        <v>3</v>
      </c>
      <c r="H206" s="6"/>
      <c r="I206" s="6" t="s">
        <v>32</v>
      </c>
      <c r="J206" s="6"/>
      <c r="K206" s="7">
        <v>6</v>
      </c>
      <c r="O206" s="6"/>
      <c r="P206" s="6" t="s">
        <v>32</v>
      </c>
      <c r="Q206" s="6"/>
      <c r="R206" s="7">
        <v>12</v>
      </c>
      <c r="S206">
        <v>3</v>
      </c>
      <c r="T206">
        <v>0</v>
      </c>
      <c r="U206" s="6">
        <v>0</v>
      </c>
      <c r="V206">
        <v>48.5</v>
      </c>
      <c r="W206">
        <v>5.5</v>
      </c>
    </row>
    <row r="207" spans="2:23" x14ac:dyDescent="0.2">
      <c r="B207">
        <f t="shared" si="8"/>
        <v>20</v>
      </c>
      <c r="D207" t="s">
        <v>3</v>
      </c>
      <c r="H207" s="6"/>
      <c r="I207" s="6" t="s">
        <v>39</v>
      </c>
      <c r="J207" s="6"/>
      <c r="K207" s="7">
        <v>6</v>
      </c>
      <c r="O207" s="6"/>
      <c r="P207" s="6" t="s">
        <v>39</v>
      </c>
      <c r="Q207" s="6"/>
      <c r="R207" s="7">
        <v>5</v>
      </c>
      <c r="S207">
        <v>0</v>
      </c>
      <c r="T207">
        <v>0</v>
      </c>
      <c r="U207" s="6">
        <v>0</v>
      </c>
    </row>
    <row r="208" spans="2:23" x14ac:dyDescent="0.2">
      <c r="H208" s="6"/>
      <c r="I208" s="6" t="s">
        <v>40</v>
      </c>
      <c r="J208" s="6"/>
      <c r="K208" s="7">
        <v>6</v>
      </c>
      <c r="O208" s="6"/>
      <c r="P208" s="6" t="s">
        <v>40</v>
      </c>
      <c r="Q208" s="6"/>
      <c r="R208" s="7">
        <v>5</v>
      </c>
      <c r="S208">
        <v>0</v>
      </c>
      <c r="T208">
        <v>0</v>
      </c>
      <c r="U208" s="6">
        <v>0</v>
      </c>
    </row>
    <row r="209" spans="1:23" x14ac:dyDescent="0.2">
      <c r="A209" s="1">
        <v>46159</v>
      </c>
      <c r="H209" s="6"/>
      <c r="I209" s="6" t="s">
        <v>41</v>
      </c>
      <c r="J209" s="6"/>
      <c r="K209" s="7">
        <v>5</v>
      </c>
      <c r="O209" s="6"/>
      <c r="P209" s="6" t="s">
        <v>41</v>
      </c>
      <c r="Q209" s="6"/>
      <c r="R209" s="7">
        <v>6</v>
      </c>
      <c r="S209">
        <v>0</v>
      </c>
      <c r="T209">
        <v>0</v>
      </c>
      <c r="U209" s="6">
        <v>0</v>
      </c>
    </row>
    <row r="210" spans="1:23" x14ac:dyDescent="0.2">
      <c r="B210" t="s">
        <v>0</v>
      </c>
      <c r="D210" t="s">
        <v>1</v>
      </c>
    </row>
    <row r="211" spans="1:23" x14ac:dyDescent="0.2">
      <c r="B211">
        <v>1</v>
      </c>
      <c r="D211" t="s">
        <v>6</v>
      </c>
      <c r="H211" s="5">
        <v>46188</v>
      </c>
      <c r="I211" s="6"/>
      <c r="J211" s="6"/>
      <c r="K211" s="6"/>
      <c r="O211" s="1">
        <v>46218</v>
      </c>
      <c r="P211" s="6" t="s">
        <v>0</v>
      </c>
      <c r="R211" s="6" t="s">
        <v>55</v>
      </c>
      <c r="S211" t="s">
        <v>56</v>
      </c>
      <c r="T211" s="6" t="s">
        <v>57</v>
      </c>
      <c r="U211" s="6" t="s">
        <v>63</v>
      </c>
      <c r="V211" s="6" t="s">
        <v>65</v>
      </c>
      <c r="W211" s="6" t="s">
        <v>66</v>
      </c>
    </row>
    <row r="212" spans="1:23" x14ac:dyDescent="0.2">
      <c r="B212">
        <f>B211+1</f>
        <v>2</v>
      </c>
      <c r="D212" t="s">
        <v>7</v>
      </c>
      <c r="H212" s="6"/>
      <c r="I212" s="6" t="s">
        <v>0</v>
      </c>
      <c r="J212" s="6"/>
      <c r="K212" s="6" t="s">
        <v>1</v>
      </c>
      <c r="P212" s="6" t="s">
        <v>33</v>
      </c>
      <c r="R212" s="6">
        <v>13</v>
      </c>
      <c r="S212">
        <v>2</v>
      </c>
      <c r="T212">
        <v>0</v>
      </c>
      <c r="U212" s="6">
        <v>0</v>
      </c>
      <c r="V212">
        <v>48</v>
      </c>
      <c r="W212">
        <v>6</v>
      </c>
    </row>
    <row r="213" spans="1:23" x14ac:dyDescent="0.2">
      <c r="B213">
        <f t="shared" ref="B213:B230" si="9">B212+1</f>
        <v>3</v>
      </c>
      <c r="H213" s="6"/>
      <c r="I213" s="6" t="s">
        <v>33</v>
      </c>
      <c r="J213" s="6"/>
      <c r="K213" s="6">
        <v>8</v>
      </c>
      <c r="P213" s="6" t="s">
        <v>34</v>
      </c>
      <c r="R213" s="6">
        <v>15</v>
      </c>
      <c r="S213">
        <v>0</v>
      </c>
      <c r="T213">
        <v>0</v>
      </c>
      <c r="U213" s="6">
        <v>0</v>
      </c>
      <c r="V213">
        <v>48.5</v>
      </c>
      <c r="W213">
        <v>6.5</v>
      </c>
    </row>
    <row r="214" spans="1:23" x14ac:dyDescent="0.2">
      <c r="B214">
        <f t="shared" si="9"/>
        <v>4</v>
      </c>
      <c r="D214" t="s">
        <v>9</v>
      </c>
      <c r="H214" s="6"/>
      <c r="I214" s="6" t="s">
        <v>34</v>
      </c>
      <c r="J214" s="6"/>
      <c r="K214" s="6">
        <v>6</v>
      </c>
      <c r="P214" s="6" t="s">
        <v>35</v>
      </c>
      <c r="R214" s="6">
        <v>14</v>
      </c>
      <c r="S214">
        <v>3</v>
      </c>
      <c r="T214">
        <v>1</v>
      </c>
      <c r="U214" s="6">
        <v>0</v>
      </c>
      <c r="V214">
        <v>47</v>
      </c>
      <c r="W214">
        <v>6</v>
      </c>
    </row>
    <row r="215" spans="1:23" x14ac:dyDescent="0.2">
      <c r="B215">
        <f t="shared" si="9"/>
        <v>5</v>
      </c>
      <c r="D215" t="s">
        <v>3</v>
      </c>
      <c r="H215" s="6"/>
      <c r="I215" s="6" t="s">
        <v>35</v>
      </c>
      <c r="J215" s="6"/>
      <c r="K215" s="6">
        <v>7</v>
      </c>
      <c r="P215" s="6" t="s">
        <v>36</v>
      </c>
      <c r="R215" s="6">
        <v>14</v>
      </c>
      <c r="S215">
        <v>4</v>
      </c>
      <c r="T215">
        <v>0</v>
      </c>
      <c r="U215" s="6">
        <v>0</v>
      </c>
      <c r="V215">
        <v>48</v>
      </c>
      <c r="W215">
        <v>6</v>
      </c>
    </row>
    <row r="216" spans="1:23" x14ac:dyDescent="0.2">
      <c r="B216">
        <f t="shared" si="9"/>
        <v>6</v>
      </c>
      <c r="D216" t="s">
        <v>6</v>
      </c>
      <c r="H216" s="6"/>
      <c r="I216" s="6" t="s">
        <v>36</v>
      </c>
      <c r="J216" s="6"/>
      <c r="K216" s="6">
        <v>5</v>
      </c>
      <c r="P216" s="6" t="s">
        <v>37</v>
      </c>
      <c r="R216" s="6">
        <v>15</v>
      </c>
      <c r="S216">
        <v>5</v>
      </c>
      <c r="T216">
        <v>0</v>
      </c>
      <c r="U216" s="6">
        <v>0</v>
      </c>
      <c r="V216">
        <v>48</v>
      </c>
      <c r="W216">
        <v>6.5</v>
      </c>
    </row>
    <row r="217" spans="1:23" x14ac:dyDescent="0.2">
      <c r="B217">
        <f t="shared" si="9"/>
        <v>7</v>
      </c>
      <c r="D217" t="s">
        <v>3</v>
      </c>
      <c r="H217" s="6"/>
      <c r="I217" s="6" t="s">
        <v>37</v>
      </c>
      <c r="J217" s="6"/>
      <c r="K217" s="6">
        <v>6</v>
      </c>
      <c r="P217" s="6" t="s">
        <v>38</v>
      </c>
      <c r="R217" s="6">
        <v>16</v>
      </c>
      <c r="S217">
        <v>3</v>
      </c>
      <c r="T217">
        <v>0</v>
      </c>
      <c r="U217" s="6">
        <v>0</v>
      </c>
      <c r="V217">
        <v>48</v>
      </c>
      <c r="W217">
        <v>7</v>
      </c>
    </row>
    <row r="218" spans="1:23" x14ac:dyDescent="0.2">
      <c r="B218">
        <f t="shared" si="9"/>
        <v>8</v>
      </c>
      <c r="D218" t="s">
        <v>4</v>
      </c>
      <c r="H218" s="6"/>
      <c r="I218" s="6" t="s">
        <v>38</v>
      </c>
      <c r="J218" s="6"/>
      <c r="K218" s="6">
        <v>5</v>
      </c>
      <c r="P218" s="6" t="s">
        <v>30</v>
      </c>
      <c r="R218" s="6">
        <v>16</v>
      </c>
      <c r="S218">
        <v>4</v>
      </c>
      <c r="T218">
        <v>1</v>
      </c>
      <c r="U218" s="6">
        <v>0</v>
      </c>
      <c r="V218">
        <v>48</v>
      </c>
      <c r="W218">
        <v>5.5</v>
      </c>
    </row>
    <row r="219" spans="1:23" x14ac:dyDescent="0.2">
      <c r="B219">
        <f t="shared" si="9"/>
        <v>9</v>
      </c>
      <c r="D219" t="s">
        <v>6</v>
      </c>
      <c r="H219" s="6"/>
      <c r="I219" s="6" t="s">
        <v>30</v>
      </c>
      <c r="J219" s="6"/>
      <c r="K219" s="6">
        <v>6</v>
      </c>
      <c r="P219" s="6" t="s">
        <v>31</v>
      </c>
      <c r="R219" s="6">
        <v>18</v>
      </c>
      <c r="S219">
        <v>4</v>
      </c>
      <c r="T219">
        <v>0</v>
      </c>
      <c r="U219" s="6">
        <v>0</v>
      </c>
      <c r="V219">
        <v>48</v>
      </c>
      <c r="W219">
        <v>6.5</v>
      </c>
    </row>
    <row r="220" spans="1:23" x14ac:dyDescent="0.2">
      <c r="B220">
        <f t="shared" si="9"/>
        <v>10</v>
      </c>
      <c r="D220" t="s">
        <v>3</v>
      </c>
      <c r="H220" s="6"/>
      <c r="I220" s="6" t="s">
        <v>31</v>
      </c>
      <c r="J220" s="6"/>
      <c r="K220" s="6">
        <v>5</v>
      </c>
      <c r="P220" s="6" t="s">
        <v>32</v>
      </c>
      <c r="R220" s="6">
        <v>13</v>
      </c>
      <c r="S220">
        <v>3</v>
      </c>
      <c r="T220">
        <v>0</v>
      </c>
      <c r="U220" s="6">
        <v>0</v>
      </c>
      <c r="V220">
        <v>48.5</v>
      </c>
      <c r="W220">
        <v>5.5</v>
      </c>
    </row>
    <row r="221" spans="1:23" x14ac:dyDescent="0.2">
      <c r="B221">
        <f t="shared" si="9"/>
        <v>11</v>
      </c>
      <c r="D221" t="s">
        <v>8</v>
      </c>
      <c r="H221" s="6"/>
      <c r="I221" s="6" t="s">
        <v>32</v>
      </c>
      <c r="J221" s="6"/>
      <c r="K221" s="7">
        <v>6</v>
      </c>
      <c r="P221" s="6" t="s">
        <v>39</v>
      </c>
      <c r="R221" s="6">
        <v>5</v>
      </c>
      <c r="S221">
        <v>0</v>
      </c>
      <c r="T221">
        <v>0</v>
      </c>
      <c r="U221" s="6">
        <v>0</v>
      </c>
    </row>
    <row r="222" spans="1:23" x14ac:dyDescent="0.2">
      <c r="B222">
        <f t="shared" si="9"/>
        <v>12</v>
      </c>
      <c r="D222" t="s">
        <v>6</v>
      </c>
      <c r="H222" s="6"/>
      <c r="I222" s="6" t="s">
        <v>39</v>
      </c>
      <c r="J222" s="6"/>
      <c r="K222" s="7">
        <v>8</v>
      </c>
      <c r="P222" s="6" t="s">
        <v>40</v>
      </c>
      <c r="R222" s="6">
        <v>5</v>
      </c>
      <c r="S222">
        <v>0</v>
      </c>
      <c r="T222">
        <v>0</v>
      </c>
      <c r="U222" s="6">
        <v>0</v>
      </c>
    </row>
    <row r="223" spans="1:23" x14ac:dyDescent="0.2">
      <c r="B223">
        <f t="shared" si="9"/>
        <v>13</v>
      </c>
      <c r="D223" t="s">
        <v>3</v>
      </c>
      <c r="H223" s="6"/>
      <c r="I223" s="6" t="s">
        <v>40</v>
      </c>
      <c r="J223" s="6"/>
      <c r="K223" s="7">
        <v>7</v>
      </c>
      <c r="P223" s="6" t="s">
        <v>41</v>
      </c>
      <c r="R223" s="6">
        <v>6</v>
      </c>
      <c r="S223">
        <v>0</v>
      </c>
      <c r="T223">
        <v>0</v>
      </c>
      <c r="U223" s="6">
        <v>0</v>
      </c>
    </row>
    <row r="224" spans="1:23" x14ac:dyDescent="0.2">
      <c r="B224">
        <f t="shared" si="9"/>
        <v>14</v>
      </c>
      <c r="D224" t="s">
        <v>4</v>
      </c>
      <c r="H224" s="6"/>
      <c r="I224" s="6" t="s">
        <v>41</v>
      </c>
      <c r="J224" s="6"/>
      <c r="K224" s="7">
        <v>5</v>
      </c>
    </row>
    <row r="225" spans="1:23" x14ac:dyDescent="0.2">
      <c r="B225">
        <f t="shared" si="9"/>
        <v>15</v>
      </c>
      <c r="D225" t="s">
        <v>10</v>
      </c>
      <c r="O225" s="1">
        <v>46219</v>
      </c>
      <c r="P225" s="6" t="s">
        <v>0</v>
      </c>
      <c r="R225" s="6" t="s">
        <v>55</v>
      </c>
      <c r="S225" t="s">
        <v>56</v>
      </c>
      <c r="T225" s="6" t="s">
        <v>57</v>
      </c>
      <c r="U225" s="6" t="s">
        <v>63</v>
      </c>
      <c r="V225" s="6" t="s">
        <v>65</v>
      </c>
      <c r="W225" s="6" t="s">
        <v>66</v>
      </c>
    </row>
    <row r="226" spans="1:23" x14ac:dyDescent="0.2">
      <c r="B226">
        <f t="shared" si="9"/>
        <v>16</v>
      </c>
      <c r="D226" t="s">
        <v>3</v>
      </c>
      <c r="H226" s="5">
        <v>46189</v>
      </c>
      <c r="I226" s="6"/>
      <c r="J226" s="6"/>
      <c r="K226" s="6"/>
      <c r="P226" s="6" t="s">
        <v>33</v>
      </c>
      <c r="R226" s="6">
        <v>13</v>
      </c>
      <c r="S226">
        <v>2</v>
      </c>
      <c r="T226">
        <v>0</v>
      </c>
      <c r="U226" s="6">
        <v>0</v>
      </c>
      <c r="V226">
        <v>48</v>
      </c>
      <c r="W226">
        <v>6</v>
      </c>
    </row>
    <row r="227" spans="1:23" x14ac:dyDescent="0.2">
      <c r="B227">
        <f t="shared" si="9"/>
        <v>17</v>
      </c>
      <c r="D227" t="s">
        <v>7</v>
      </c>
      <c r="H227" s="6"/>
      <c r="I227" s="6" t="s">
        <v>0</v>
      </c>
      <c r="J227" s="6"/>
      <c r="K227" s="6" t="s">
        <v>1</v>
      </c>
      <c r="P227" s="6" t="s">
        <v>34</v>
      </c>
      <c r="R227" s="6">
        <v>16</v>
      </c>
      <c r="S227">
        <v>0</v>
      </c>
      <c r="T227">
        <v>0</v>
      </c>
      <c r="U227" s="6">
        <v>0</v>
      </c>
      <c r="V227">
        <v>48.5</v>
      </c>
      <c r="W227">
        <v>6.5</v>
      </c>
    </row>
    <row r="228" spans="1:23" x14ac:dyDescent="0.2">
      <c r="B228">
        <f t="shared" si="9"/>
        <v>18</v>
      </c>
      <c r="D228" t="s">
        <v>4</v>
      </c>
      <c r="H228" s="6"/>
      <c r="I228" s="6" t="s">
        <v>33</v>
      </c>
      <c r="J228" s="6"/>
      <c r="K228" s="6">
        <v>8</v>
      </c>
      <c r="P228" s="6" t="s">
        <v>35</v>
      </c>
      <c r="R228" s="6">
        <v>14</v>
      </c>
      <c r="S228">
        <v>3</v>
      </c>
      <c r="T228">
        <v>1</v>
      </c>
      <c r="U228" s="6">
        <v>0</v>
      </c>
      <c r="V228">
        <v>47.5</v>
      </c>
      <c r="W228">
        <v>6</v>
      </c>
    </row>
    <row r="229" spans="1:23" x14ac:dyDescent="0.2">
      <c r="B229">
        <f t="shared" si="9"/>
        <v>19</v>
      </c>
      <c r="D229" t="s">
        <v>4</v>
      </c>
      <c r="H229" s="6"/>
      <c r="I229" s="6" t="s">
        <v>34</v>
      </c>
      <c r="J229" s="6"/>
      <c r="K229" s="6">
        <v>6</v>
      </c>
      <c r="P229" s="6" t="s">
        <v>36</v>
      </c>
      <c r="R229" s="6">
        <v>14</v>
      </c>
      <c r="S229">
        <v>4</v>
      </c>
      <c r="T229">
        <v>0</v>
      </c>
      <c r="U229" s="6">
        <v>0</v>
      </c>
      <c r="V229">
        <v>48</v>
      </c>
      <c r="W229">
        <v>6</v>
      </c>
    </row>
    <row r="230" spans="1:23" x14ac:dyDescent="0.2">
      <c r="B230">
        <f t="shared" si="9"/>
        <v>20</v>
      </c>
      <c r="D230" t="s">
        <v>4</v>
      </c>
      <c r="H230" s="6"/>
      <c r="I230" s="6" t="s">
        <v>35</v>
      </c>
      <c r="J230" s="6"/>
      <c r="K230" s="6">
        <v>7</v>
      </c>
      <c r="P230" s="6" t="s">
        <v>37</v>
      </c>
      <c r="R230" s="6">
        <v>16</v>
      </c>
      <c r="S230">
        <v>5</v>
      </c>
      <c r="T230">
        <v>0</v>
      </c>
      <c r="U230" s="6">
        <v>0</v>
      </c>
      <c r="V230">
        <v>48</v>
      </c>
      <c r="W230">
        <v>6.5</v>
      </c>
    </row>
    <row r="231" spans="1:23" x14ac:dyDescent="0.2">
      <c r="H231" s="6"/>
      <c r="I231" s="6" t="s">
        <v>36</v>
      </c>
      <c r="J231" s="6"/>
      <c r="K231" s="6">
        <v>6</v>
      </c>
      <c r="P231" s="6" t="s">
        <v>38</v>
      </c>
      <c r="R231" s="6">
        <v>16</v>
      </c>
      <c r="S231">
        <v>3</v>
      </c>
      <c r="T231">
        <v>0</v>
      </c>
      <c r="U231" s="6">
        <v>0</v>
      </c>
      <c r="V231">
        <v>48</v>
      </c>
      <c r="W231">
        <v>7</v>
      </c>
    </row>
    <row r="232" spans="1:23" x14ac:dyDescent="0.2">
      <c r="A232" s="1">
        <v>46160</v>
      </c>
      <c r="H232" s="6"/>
      <c r="I232" s="6" t="s">
        <v>37</v>
      </c>
      <c r="J232" s="6"/>
      <c r="K232" s="6">
        <v>6</v>
      </c>
      <c r="P232" s="6" t="s">
        <v>30</v>
      </c>
      <c r="R232" s="6">
        <v>15</v>
      </c>
      <c r="S232">
        <v>3</v>
      </c>
      <c r="T232">
        <v>1</v>
      </c>
      <c r="U232" s="6">
        <v>0</v>
      </c>
      <c r="V232">
        <v>48.5</v>
      </c>
      <c r="W232">
        <v>5.5</v>
      </c>
    </row>
    <row r="233" spans="1:23" x14ac:dyDescent="0.2">
      <c r="B233" t="s">
        <v>0</v>
      </c>
      <c r="D233" t="s">
        <v>1</v>
      </c>
      <c r="H233" s="6"/>
      <c r="I233" s="6" t="s">
        <v>38</v>
      </c>
      <c r="J233" s="6"/>
      <c r="K233" s="6">
        <v>5</v>
      </c>
      <c r="P233" s="6" t="s">
        <v>31</v>
      </c>
      <c r="R233" s="6">
        <v>18</v>
      </c>
      <c r="S233">
        <v>4</v>
      </c>
      <c r="T233">
        <v>0</v>
      </c>
      <c r="U233" s="6">
        <v>0</v>
      </c>
      <c r="V233">
        <v>48</v>
      </c>
      <c r="W233">
        <v>6.5</v>
      </c>
    </row>
    <row r="234" spans="1:23" x14ac:dyDescent="0.2">
      <c r="B234">
        <v>1</v>
      </c>
      <c r="D234" t="s">
        <v>6</v>
      </c>
      <c r="H234" s="6"/>
      <c r="I234" s="6" t="s">
        <v>30</v>
      </c>
      <c r="J234" s="6"/>
      <c r="K234" s="6">
        <v>7</v>
      </c>
      <c r="P234" s="6" t="s">
        <v>32</v>
      </c>
      <c r="R234" s="6">
        <v>13</v>
      </c>
      <c r="S234">
        <v>3</v>
      </c>
      <c r="T234">
        <v>0</v>
      </c>
      <c r="U234" s="6">
        <v>0</v>
      </c>
      <c r="V234">
        <v>48.5</v>
      </c>
      <c r="W234">
        <v>5.5</v>
      </c>
    </row>
    <row r="235" spans="1:23" x14ac:dyDescent="0.2">
      <c r="B235">
        <f>B234+1</f>
        <v>2</v>
      </c>
      <c r="D235" t="s">
        <v>7</v>
      </c>
      <c r="H235" s="6"/>
      <c r="I235" s="6" t="s">
        <v>31</v>
      </c>
      <c r="J235" s="6"/>
      <c r="K235" s="6">
        <v>5</v>
      </c>
      <c r="P235" s="6" t="s">
        <v>39</v>
      </c>
      <c r="R235" s="6">
        <v>5</v>
      </c>
      <c r="S235">
        <v>0</v>
      </c>
      <c r="T235">
        <v>0</v>
      </c>
      <c r="U235" s="6">
        <v>0</v>
      </c>
    </row>
    <row r="236" spans="1:23" x14ac:dyDescent="0.2">
      <c r="B236">
        <f t="shared" ref="B236:B253" si="10">B235+1</f>
        <v>3</v>
      </c>
      <c r="H236" s="6"/>
      <c r="I236" s="6" t="s">
        <v>32</v>
      </c>
      <c r="J236" s="6"/>
      <c r="K236" s="7">
        <v>6</v>
      </c>
      <c r="P236" s="6" t="s">
        <v>40</v>
      </c>
      <c r="R236" s="6">
        <v>5</v>
      </c>
      <c r="S236">
        <v>0</v>
      </c>
      <c r="T236">
        <v>0</v>
      </c>
      <c r="U236" s="6">
        <v>0</v>
      </c>
    </row>
    <row r="237" spans="1:23" x14ac:dyDescent="0.2">
      <c r="B237">
        <f t="shared" si="10"/>
        <v>4</v>
      </c>
      <c r="D237" t="s">
        <v>9</v>
      </c>
      <c r="H237" s="6"/>
      <c r="I237" s="6" t="s">
        <v>39</v>
      </c>
      <c r="J237" s="6"/>
      <c r="K237" s="7">
        <v>8</v>
      </c>
      <c r="P237" s="6" t="s">
        <v>41</v>
      </c>
      <c r="R237" s="6">
        <v>6</v>
      </c>
      <c r="S237">
        <v>0</v>
      </c>
      <c r="T237">
        <v>0</v>
      </c>
      <c r="U237" s="6">
        <v>0</v>
      </c>
    </row>
    <row r="238" spans="1:23" x14ac:dyDescent="0.2">
      <c r="B238">
        <f t="shared" si="10"/>
        <v>5</v>
      </c>
      <c r="D238" t="s">
        <v>3</v>
      </c>
      <c r="H238" s="6"/>
      <c r="I238" s="6" t="s">
        <v>40</v>
      </c>
      <c r="J238" s="6"/>
      <c r="K238" s="7">
        <v>8</v>
      </c>
    </row>
    <row r="239" spans="1:23" x14ac:dyDescent="0.2">
      <c r="B239">
        <f t="shared" si="10"/>
        <v>6</v>
      </c>
      <c r="D239" t="s">
        <v>6</v>
      </c>
      <c r="H239" s="6"/>
      <c r="I239" s="6" t="s">
        <v>41</v>
      </c>
      <c r="J239" s="6"/>
      <c r="K239" s="7">
        <v>5</v>
      </c>
      <c r="O239" s="1">
        <v>46220</v>
      </c>
      <c r="P239" s="6" t="s">
        <v>0</v>
      </c>
      <c r="R239" s="6" t="s">
        <v>55</v>
      </c>
      <c r="S239" t="s">
        <v>56</v>
      </c>
      <c r="T239" s="6" t="s">
        <v>57</v>
      </c>
      <c r="U239" s="6" t="s">
        <v>63</v>
      </c>
      <c r="V239" s="6" t="s">
        <v>65</v>
      </c>
      <c r="W239" s="6" t="s">
        <v>66</v>
      </c>
    </row>
    <row r="240" spans="1:23" x14ac:dyDescent="0.2">
      <c r="B240">
        <f t="shared" si="10"/>
        <v>7</v>
      </c>
      <c r="D240" t="s">
        <v>3</v>
      </c>
      <c r="P240" s="6" t="s">
        <v>33</v>
      </c>
      <c r="R240" s="6">
        <v>13</v>
      </c>
      <c r="S240">
        <v>1</v>
      </c>
      <c r="T240">
        <v>1</v>
      </c>
      <c r="U240" s="6">
        <v>0</v>
      </c>
      <c r="V240">
        <v>48</v>
      </c>
      <c r="W240">
        <v>6</v>
      </c>
    </row>
    <row r="241" spans="1:23" x14ac:dyDescent="0.2">
      <c r="B241">
        <f t="shared" si="10"/>
        <v>8</v>
      </c>
      <c r="D241" t="s">
        <v>4</v>
      </c>
      <c r="H241" s="5">
        <v>46190</v>
      </c>
      <c r="I241" s="6"/>
      <c r="J241" s="6"/>
      <c r="K241" s="6"/>
      <c r="P241" s="6" t="s">
        <v>34</v>
      </c>
      <c r="R241" s="6">
        <v>16</v>
      </c>
      <c r="S241">
        <v>0</v>
      </c>
      <c r="T241">
        <v>0</v>
      </c>
      <c r="U241" s="6">
        <v>0</v>
      </c>
      <c r="V241">
        <v>48.5</v>
      </c>
      <c r="W241">
        <v>6.5</v>
      </c>
    </row>
    <row r="242" spans="1:23" x14ac:dyDescent="0.2">
      <c r="B242">
        <f t="shared" si="10"/>
        <v>9</v>
      </c>
      <c r="D242" t="s">
        <v>6</v>
      </c>
      <c r="H242" s="6"/>
      <c r="I242" s="6" t="s">
        <v>0</v>
      </c>
      <c r="J242" s="6"/>
      <c r="K242" s="6" t="s">
        <v>1</v>
      </c>
      <c r="P242" s="6" t="s">
        <v>35</v>
      </c>
      <c r="R242" s="6">
        <v>14</v>
      </c>
      <c r="S242">
        <v>3</v>
      </c>
      <c r="T242">
        <v>1</v>
      </c>
      <c r="U242" s="6">
        <v>0</v>
      </c>
      <c r="V242">
        <v>47.5</v>
      </c>
      <c r="W242">
        <v>6</v>
      </c>
    </row>
    <row r="243" spans="1:23" x14ac:dyDescent="0.2">
      <c r="B243">
        <f t="shared" si="10"/>
        <v>10</v>
      </c>
      <c r="D243" t="s">
        <v>4</v>
      </c>
      <c r="H243" s="6"/>
      <c r="I243" s="6" t="s">
        <v>33</v>
      </c>
      <c r="J243" s="6"/>
      <c r="K243" s="6">
        <v>8</v>
      </c>
      <c r="P243" s="6" t="s">
        <v>36</v>
      </c>
      <c r="R243" s="6">
        <v>15</v>
      </c>
      <c r="S243">
        <v>3</v>
      </c>
      <c r="T243">
        <v>0</v>
      </c>
      <c r="U243" s="6">
        <v>0</v>
      </c>
      <c r="V243">
        <v>48</v>
      </c>
      <c r="W243">
        <v>6</v>
      </c>
    </row>
    <row r="244" spans="1:23" x14ac:dyDescent="0.2">
      <c r="B244">
        <f t="shared" si="10"/>
        <v>11</v>
      </c>
      <c r="D244" t="s">
        <v>8</v>
      </c>
      <c r="H244" s="6"/>
      <c r="I244" s="6" t="s">
        <v>34</v>
      </c>
      <c r="J244" s="6"/>
      <c r="K244" s="6">
        <v>6</v>
      </c>
      <c r="P244" s="6" t="s">
        <v>37</v>
      </c>
      <c r="R244" s="6">
        <v>16</v>
      </c>
      <c r="S244">
        <v>5</v>
      </c>
      <c r="T244">
        <v>0</v>
      </c>
      <c r="U244" s="6">
        <v>0</v>
      </c>
      <c r="V244">
        <v>48</v>
      </c>
      <c r="W244">
        <v>6.5</v>
      </c>
    </row>
    <row r="245" spans="1:23" x14ac:dyDescent="0.2">
      <c r="B245">
        <f t="shared" si="10"/>
        <v>12</v>
      </c>
      <c r="D245" t="s">
        <v>6</v>
      </c>
      <c r="H245" s="6"/>
      <c r="I245" s="6" t="s">
        <v>35</v>
      </c>
      <c r="J245" s="6"/>
      <c r="K245" s="6">
        <v>7</v>
      </c>
      <c r="P245" s="6" t="s">
        <v>38</v>
      </c>
      <c r="R245" s="6">
        <v>14</v>
      </c>
      <c r="S245">
        <v>2</v>
      </c>
      <c r="T245">
        <v>0</v>
      </c>
      <c r="U245" s="6">
        <v>0</v>
      </c>
      <c r="V245">
        <v>48</v>
      </c>
      <c r="W245">
        <v>7</v>
      </c>
    </row>
    <row r="246" spans="1:23" x14ac:dyDescent="0.2">
      <c r="B246">
        <f t="shared" si="10"/>
        <v>13</v>
      </c>
      <c r="D246" t="s">
        <v>3</v>
      </c>
      <c r="H246" s="6"/>
      <c r="I246" s="6" t="s">
        <v>36</v>
      </c>
      <c r="J246" s="6"/>
      <c r="K246" s="6">
        <v>6</v>
      </c>
      <c r="P246" s="6" t="s">
        <v>30</v>
      </c>
      <c r="R246" s="6">
        <v>14</v>
      </c>
      <c r="S246">
        <v>3</v>
      </c>
      <c r="T246">
        <v>2</v>
      </c>
      <c r="U246" s="6">
        <v>0</v>
      </c>
      <c r="V246">
        <v>48.5</v>
      </c>
      <c r="W246">
        <v>5.5</v>
      </c>
    </row>
    <row r="247" spans="1:23" x14ac:dyDescent="0.2">
      <c r="B247">
        <f t="shared" si="10"/>
        <v>14</v>
      </c>
      <c r="D247" t="s">
        <v>4</v>
      </c>
      <c r="H247" s="6"/>
      <c r="I247" s="6" t="s">
        <v>37</v>
      </c>
      <c r="J247" s="6"/>
      <c r="K247" s="6">
        <v>7</v>
      </c>
      <c r="P247" s="6" t="s">
        <v>31</v>
      </c>
      <c r="R247" s="6">
        <v>19</v>
      </c>
      <c r="S247">
        <v>3</v>
      </c>
      <c r="T247">
        <v>0</v>
      </c>
      <c r="U247" s="6">
        <v>0</v>
      </c>
      <c r="V247">
        <v>48</v>
      </c>
      <c r="W247">
        <v>7</v>
      </c>
    </row>
    <row r="248" spans="1:23" x14ac:dyDescent="0.2">
      <c r="B248">
        <f t="shared" si="10"/>
        <v>15</v>
      </c>
      <c r="D248" t="s">
        <v>10</v>
      </c>
      <c r="H248" s="6"/>
      <c r="I248" s="6" t="s">
        <v>38</v>
      </c>
      <c r="J248" s="6"/>
      <c r="K248" s="6">
        <v>5</v>
      </c>
      <c r="P248" s="6" t="s">
        <v>32</v>
      </c>
      <c r="R248" s="6">
        <v>14</v>
      </c>
      <c r="S248">
        <v>2</v>
      </c>
      <c r="T248">
        <v>0</v>
      </c>
      <c r="U248" s="6">
        <v>0</v>
      </c>
      <c r="V248">
        <v>48.5</v>
      </c>
      <c r="W248">
        <v>6</v>
      </c>
    </row>
    <row r="249" spans="1:23" x14ac:dyDescent="0.2">
      <c r="B249">
        <f t="shared" si="10"/>
        <v>16</v>
      </c>
      <c r="D249" t="s">
        <v>3</v>
      </c>
      <c r="H249" s="6"/>
      <c r="I249" s="6" t="s">
        <v>30</v>
      </c>
      <c r="J249" s="6"/>
      <c r="K249" s="6">
        <v>7</v>
      </c>
      <c r="P249" s="6" t="s">
        <v>39</v>
      </c>
      <c r="R249" s="6">
        <v>6</v>
      </c>
      <c r="S249">
        <v>0</v>
      </c>
      <c r="T249">
        <v>0</v>
      </c>
      <c r="U249">
        <v>0</v>
      </c>
    </row>
    <row r="250" spans="1:23" x14ac:dyDescent="0.2">
      <c r="B250">
        <f t="shared" si="10"/>
        <v>17</v>
      </c>
      <c r="D250" t="s">
        <v>7</v>
      </c>
      <c r="H250" s="6"/>
      <c r="I250" s="6" t="s">
        <v>31</v>
      </c>
      <c r="J250" s="6"/>
      <c r="K250" s="6">
        <v>5</v>
      </c>
      <c r="P250" s="6" t="s">
        <v>40</v>
      </c>
      <c r="R250" s="6">
        <v>6</v>
      </c>
      <c r="S250">
        <v>0</v>
      </c>
      <c r="T250">
        <v>0</v>
      </c>
      <c r="U250">
        <v>0</v>
      </c>
    </row>
    <row r="251" spans="1:23" x14ac:dyDescent="0.2">
      <c r="B251">
        <f t="shared" si="10"/>
        <v>18</v>
      </c>
      <c r="D251" t="s">
        <v>4</v>
      </c>
      <c r="H251" s="6"/>
      <c r="I251" s="6" t="s">
        <v>32</v>
      </c>
      <c r="J251" s="6"/>
      <c r="K251" s="7">
        <v>6</v>
      </c>
      <c r="P251" s="6" t="s">
        <v>41</v>
      </c>
      <c r="R251" s="6">
        <v>6</v>
      </c>
      <c r="S251">
        <v>0</v>
      </c>
      <c r="T251">
        <v>0</v>
      </c>
      <c r="U251">
        <v>0</v>
      </c>
    </row>
    <row r="252" spans="1:23" x14ac:dyDescent="0.2">
      <c r="B252">
        <f t="shared" si="10"/>
        <v>19</v>
      </c>
      <c r="D252" t="s">
        <v>6</v>
      </c>
      <c r="H252" s="6"/>
      <c r="I252" s="6" t="s">
        <v>39</v>
      </c>
      <c r="J252" s="6"/>
      <c r="K252" s="7">
        <v>8</v>
      </c>
    </row>
    <row r="253" spans="1:23" x14ac:dyDescent="0.2">
      <c r="B253">
        <f t="shared" si="10"/>
        <v>20</v>
      </c>
      <c r="D253" t="s">
        <v>6</v>
      </c>
      <c r="H253" s="6"/>
      <c r="I253" s="6" t="s">
        <v>40</v>
      </c>
      <c r="J253" s="6"/>
      <c r="K253" s="7">
        <v>9</v>
      </c>
      <c r="O253" s="1">
        <v>46221</v>
      </c>
      <c r="P253" s="6" t="s">
        <v>0</v>
      </c>
      <c r="R253" s="6" t="s">
        <v>55</v>
      </c>
      <c r="S253" t="s">
        <v>56</v>
      </c>
      <c r="T253" s="6" t="s">
        <v>57</v>
      </c>
      <c r="U253" s="6" t="s">
        <v>63</v>
      </c>
      <c r="V253" s="6" t="s">
        <v>65</v>
      </c>
      <c r="W253" s="6" t="s">
        <v>66</v>
      </c>
    </row>
    <row r="254" spans="1:23" x14ac:dyDescent="0.2">
      <c r="H254" s="6"/>
      <c r="I254" s="6" t="s">
        <v>41</v>
      </c>
      <c r="J254" s="6"/>
      <c r="K254" s="7">
        <v>5</v>
      </c>
      <c r="P254" s="6" t="s">
        <v>33</v>
      </c>
      <c r="R254" s="6">
        <v>12</v>
      </c>
      <c r="S254">
        <v>1</v>
      </c>
      <c r="T254">
        <v>1</v>
      </c>
      <c r="U254">
        <v>0</v>
      </c>
      <c r="V254">
        <v>48</v>
      </c>
      <c r="W254">
        <v>6</v>
      </c>
    </row>
    <row r="255" spans="1:23" x14ac:dyDescent="0.2">
      <c r="A255" s="1">
        <v>46161</v>
      </c>
      <c r="P255" s="6" t="s">
        <v>34</v>
      </c>
      <c r="R255" s="6">
        <v>17</v>
      </c>
      <c r="S255">
        <v>0</v>
      </c>
      <c r="T255">
        <v>0</v>
      </c>
      <c r="U255">
        <v>0</v>
      </c>
      <c r="V255">
        <v>48.5</v>
      </c>
      <c r="W255">
        <v>6.5</v>
      </c>
    </row>
    <row r="256" spans="1:23" x14ac:dyDescent="0.2">
      <c r="B256" t="s">
        <v>0</v>
      </c>
      <c r="D256" t="s">
        <v>1</v>
      </c>
      <c r="H256" s="5">
        <v>46191</v>
      </c>
      <c r="I256" s="6"/>
      <c r="J256" s="6"/>
      <c r="K256" s="6"/>
      <c r="P256" s="6" t="s">
        <v>35</v>
      </c>
      <c r="R256" s="6">
        <v>14</v>
      </c>
      <c r="S256">
        <v>3</v>
      </c>
      <c r="T256">
        <v>1</v>
      </c>
      <c r="U256">
        <v>0</v>
      </c>
      <c r="V256">
        <v>47.5</v>
      </c>
      <c r="W256">
        <v>6</v>
      </c>
    </row>
    <row r="257" spans="2:23" x14ac:dyDescent="0.2">
      <c r="B257">
        <v>1</v>
      </c>
      <c r="D257" t="s">
        <v>6</v>
      </c>
      <c r="H257" s="6"/>
      <c r="I257" s="6" t="s">
        <v>0</v>
      </c>
      <c r="J257" s="6"/>
      <c r="K257" s="6" t="s">
        <v>1</v>
      </c>
      <c r="P257" s="6" t="s">
        <v>36</v>
      </c>
      <c r="R257" s="6">
        <v>15</v>
      </c>
      <c r="S257">
        <v>3</v>
      </c>
      <c r="T257">
        <v>0</v>
      </c>
      <c r="U257">
        <v>0</v>
      </c>
      <c r="V257">
        <v>48</v>
      </c>
      <c r="W257">
        <v>6</v>
      </c>
    </row>
    <row r="258" spans="2:23" x14ac:dyDescent="0.2">
      <c r="B258">
        <f>B257+1</f>
        <v>2</v>
      </c>
      <c r="D258" t="s">
        <v>11</v>
      </c>
      <c r="H258" s="6"/>
      <c r="I258" s="6" t="s">
        <v>33</v>
      </c>
      <c r="J258" s="6"/>
      <c r="K258" s="6">
        <v>8</v>
      </c>
      <c r="P258" s="6" t="s">
        <v>37</v>
      </c>
      <c r="R258" s="6">
        <v>17</v>
      </c>
      <c r="S258">
        <v>5</v>
      </c>
      <c r="T258">
        <v>0</v>
      </c>
      <c r="U258">
        <v>0</v>
      </c>
      <c r="V258">
        <v>48</v>
      </c>
      <c r="W258">
        <v>6.5</v>
      </c>
    </row>
    <row r="259" spans="2:23" x14ac:dyDescent="0.2">
      <c r="B259">
        <f t="shared" ref="B259:B276" si="11">B258+1</f>
        <v>3</v>
      </c>
      <c r="H259" s="6"/>
      <c r="I259" s="6" t="s">
        <v>34</v>
      </c>
      <c r="J259" s="6"/>
      <c r="K259" s="6">
        <v>6</v>
      </c>
      <c r="P259" s="6" t="s">
        <v>38</v>
      </c>
      <c r="R259" s="6">
        <v>14</v>
      </c>
      <c r="S259">
        <v>2</v>
      </c>
      <c r="T259">
        <v>0</v>
      </c>
      <c r="U259">
        <v>0</v>
      </c>
      <c r="V259">
        <v>48</v>
      </c>
      <c r="W259">
        <v>7</v>
      </c>
    </row>
    <row r="260" spans="2:23" x14ac:dyDescent="0.2">
      <c r="B260">
        <f t="shared" si="11"/>
        <v>4</v>
      </c>
      <c r="D260" t="s">
        <v>9</v>
      </c>
      <c r="H260" s="6"/>
      <c r="I260" s="6" t="s">
        <v>35</v>
      </c>
      <c r="J260" s="6"/>
      <c r="K260" s="6">
        <v>7</v>
      </c>
      <c r="P260" s="6" t="s">
        <v>30</v>
      </c>
      <c r="R260" s="6">
        <v>13</v>
      </c>
      <c r="S260">
        <v>2</v>
      </c>
      <c r="T260">
        <v>3</v>
      </c>
      <c r="U260">
        <v>1</v>
      </c>
      <c r="V260">
        <v>48.5</v>
      </c>
      <c r="W260">
        <v>5.5</v>
      </c>
    </row>
    <row r="261" spans="2:23" x14ac:dyDescent="0.2">
      <c r="B261">
        <f t="shared" si="11"/>
        <v>5</v>
      </c>
      <c r="D261" t="s">
        <v>3</v>
      </c>
      <c r="H261" s="6"/>
      <c r="I261" s="6" t="s">
        <v>36</v>
      </c>
      <c r="J261" s="6"/>
      <c r="K261" s="6">
        <v>6</v>
      </c>
      <c r="P261" s="6" t="s">
        <v>31</v>
      </c>
      <c r="R261" s="6">
        <v>19</v>
      </c>
      <c r="S261">
        <v>3</v>
      </c>
      <c r="T261">
        <v>0</v>
      </c>
      <c r="U261">
        <v>0</v>
      </c>
      <c r="V261">
        <v>48</v>
      </c>
      <c r="W261">
        <v>7</v>
      </c>
    </row>
    <row r="262" spans="2:23" x14ac:dyDescent="0.2">
      <c r="B262">
        <f t="shared" si="11"/>
        <v>6</v>
      </c>
      <c r="D262" t="s">
        <v>6</v>
      </c>
      <c r="H262" s="6"/>
      <c r="I262" s="6" t="s">
        <v>37</v>
      </c>
      <c r="J262" s="6"/>
      <c r="K262" s="6">
        <v>7</v>
      </c>
      <c r="P262" s="6" t="s">
        <v>32</v>
      </c>
      <c r="R262" s="6">
        <v>14</v>
      </c>
      <c r="S262">
        <v>1</v>
      </c>
      <c r="T262">
        <v>0</v>
      </c>
      <c r="U262">
        <v>0</v>
      </c>
      <c r="V262">
        <v>49</v>
      </c>
      <c r="W262">
        <v>6</v>
      </c>
    </row>
    <row r="263" spans="2:23" x14ac:dyDescent="0.2">
      <c r="B263">
        <f t="shared" si="11"/>
        <v>7</v>
      </c>
      <c r="D263" t="s">
        <v>3</v>
      </c>
      <c r="H263" s="6"/>
      <c r="I263" s="6" t="s">
        <v>38</v>
      </c>
      <c r="J263" s="6"/>
      <c r="K263" s="6">
        <v>5</v>
      </c>
      <c r="P263" s="6" t="s">
        <v>39</v>
      </c>
      <c r="R263" s="6">
        <v>6</v>
      </c>
      <c r="S263">
        <v>0</v>
      </c>
      <c r="T263">
        <v>0</v>
      </c>
      <c r="U263">
        <v>0</v>
      </c>
    </row>
    <row r="264" spans="2:23" x14ac:dyDescent="0.2">
      <c r="B264">
        <f t="shared" si="11"/>
        <v>8</v>
      </c>
      <c r="D264" t="s">
        <v>7</v>
      </c>
      <c r="H264" s="6"/>
      <c r="I264" s="6" t="s">
        <v>30</v>
      </c>
      <c r="J264" s="6"/>
      <c r="K264" s="6">
        <v>7</v>
      </c>
      <c r="P264" s="6" t="s">
        <v>40</v>
      </c>
      <c r="R264" s="6">
        <v>6</v>
      </c>
      <c r="S264">
        <v>0</v>
      </c>
      <c r="T264">
        <v>0</v>
      </c>
      <c r="U264">
        <v>0</v>
      </c>
    </row>
    <row r="265" spans="2:23" x14ac:dyDescent="0.2">
      <c r="B265">
        <f t="shared" si="11"/>
        <v>9</v>
      </c>
      <c r="D265" t="s">
        <v>6</v>
      </c>
      <c r="H265" s="6"/>
      <c r="I265" s="6" t="s">
        <v>31</v>
      </c>
      <c r="J265" s="6"/>
      <c r="K265" s="6">
        <v>5</v>
      </c>
      <c r="P265" s="6" t="s">
        <v>41</v>
      </c>
      <c r="R265" s="6">
        <v>7</v>
      </c>
      <c r="S265">
        <v>0</v>
      </c>
      <c r="T265">
        <v>0</v>
      </c>
      <c r="U265">
        <v>0</v>
      </c>
    </row>
    <row r="266" spans="2:23" x14ac:dyDescent="0.2">
      <c r="B266">
        <f t="shared" si="11"/>
        <v>10</v>
      </c>
      <c r="D266" t="s">
        <v>4</v>
      </c>
      <c r="H266" s="6"/>
      <c r="I266" s="6" t="s">
        <v>32</v>
      </c>
      <c r="J266" s="6"/>
      <c r="K266" s="7">
        <v>6</v>
      </c>
    </row>
    <row r="267" spans="2:23" x14ac:dyDescent="0.2">
      <c r="B267">
        <f t="shared" si="11"/>
        <v>11</v>
      </c>
      <c r="D267" t="s">
        <v>8</v>
      </c>
      <c r="H267" s="6"/>
      <c r="I267" s="6" t="s">
        <v>39</v>
      </c>
      <c r="J267" s="6"/>
      <c r="K267" s="7">
        <v>8</v>
      </c>
      <c r="O267" s="1">
        <v>46222</v>
      </c>
      <c r="P267" s="6" t="s">
        <v>0</v>
      </c>
      <c r="R267" s="6" t="s">
        <v>55</v>
      </c>
      <c r="S267" t="s">
        <v>56</v>
      </c>
      <c r="T267" s="6" t="s">
        <v>57</v>
      </c>
      <c r="U267" s="6" t="s">
        <v>63</v>
      </c>
      <c r="V267" s="6" t="s">
        <v>65</v>
      </c>
      <c r="W267" s="6" t="s">
        <v>66</v>
      </c>
    </row>
    <row r="268" spans="2:23" x14ac:dyDescent="0.2">
      <c r="B268">
        <f t="shared" si="11"/>
        <v>12</v>
      </c>
      <c r="D268" t="s">
        <v>6</v>
      </c>
      <c r="H268" s="6"/>
      <c r="I268" s="6" t="s">
        <v>40</v>
      </c>
      <c r="J268" s="6"/>
      <c r="K268" s="7">
        <v>9</v>
      </c>
      <c r="P268" s="6" t="s">
        <v>33</v>
      </c>
      <c r="R268" s="6">
        <v>11</v>
      </c>
      <c r="S268">
        <v>2</v>
      </c>
      <c r="T268">
        <v>0</v>
      </c>
      <c r="U268">
        <v>0</v>
      </c>
      <c r="V268">
        <v>48</v>
      </c>
      <c r="W268">
        <v>6</v>
      </c>
    </row>
    <row r="269" spans="2:23" x14ac:dyDescent="0.2">
      <c r="B269">
        <f t="shared" si="11"/>
        <v>13</v>
      </c>
      <c r="D269" t="s">
        <v>3</v>
      </c>
      <c r="H269" s="6"/>
      <c r="I269" s="6" t="s">
        <v>41</v>
      </c>
      <c r="J269" s="6"/>
      <c r="K269" s="7">
        <v>5</v>
      </c>
      <c r="P269" s="6" t="s">
        <v>34</v>
      </c>
      <c r="R269" s="6">
        <v>17</v>
      </c>
      <c r="S269">
        <v>2</v>
      </c>
      <c r="T269">
        <v>0</v>
      </c>
      <c r="U269">
        <v>0</v>
      </c>
      <c r="V269">
        <v>48.5</v>
      </c>
      <c r="W269">
        <v>6.5</v>
      </c>
    </row>
    <row r="270" spans="2:23" x14ac:dyDescent="0.2">
      <c r="B270">
        <f t="shared" si="11"/>
        <v>14</v>
      </c>
      <c r="D270" t="s">
        <v>6</v>
      </c>
      <c r="P270" s="6" t="s">
        <v>35</v>
      </c>
      <c r="R270" s="6">
        <v>14</v>
      </c>
      <c r="S270">
        <v>3</v>
      </c>
      <c r="T270">
        <v>0</v>
      </c>
      <c r="U270">
        <v>1</v>
      </c>
      <c r="V270">
        <v>47.5</v>
      </c>
      <c r="W270">
        <v>6</v>
      </c>
    </row>
    <row r="271" spans="2:23" x14ac:dyDescent="0.2">
      <c r="B271">
        <f t="shared" si="11"/>
        <v>15</v>
      </c>
      <c r="D271" t="s">
        <v>9</v>
      </c>
      <c r="H271" s="5">
        <v>46192</v>
      </c>
      <c r="I271" s="6"/>
      <c r="J271" s="6"/>
      <c r="K271" s="6"/>
      <c r="P271" s="6" t="s">
        <v>36</v>
      </c>
      <c r="R271" s="6">
        <v>17</v>
      </c>
      <c r="S271">
        <v>3</v>
      </c>
      <c r="T271">
        <v>0</v>
      </c>
      <c r="U271">
        <v>0</v>
      </c>
      <c r="V271">
        <v>48</v>
      </c>
      <c r="W271">
        <v>6</v>
      </c>
    </row>
    <row r="272" spans="2:23" x14ac:dyDescent="0.2">
      <c r="B272">
        <f t="shared" si="11"/>
        <v>16</v>
      </c>
      <c r="D272" t="s">
        <v>3</v>
      </c>
      <c r="H272" s="6"/>
      <c r="I272" s="6" t="s">
        <v>0</v>
      </c>
      <c r="J272" s="6"/>
      <c r="K272" s="6" t="s">
        <v>1</v>
      </c>
      <c r="P272" s="6" t="s">
        <v>37</v>
      </c>
      <c r="R272" s="6">
        <v>17</v>
      </c>
      <c r="S272">
        <v>4</v>
      </c>
      <c r="T272">
        <v>0</v>
      </c>
      <c r="U272">
        <v>0</v>
      </c>
      <c r="V272">
        <v>48.5</v>
      </c>
      <c r="W272">
        <v>6.5</v>
      </c>
    </row>
    <row r="273" spans="1:23" x14ac:dyDescent="0.2">
      <c r="B273">
        <f t="shared" si="11"/>
        <v>17</v>
      </c>
      <c r="D273" t="s">
        <v>8</v>
      </c>
      <c r="H273" s="6"/>
      <c r="I273" s="6" t="s">
        <v>33</v>
      </c>
      <c r="J273" s="6"/>
      <c r="K273" s="6">
        <v>9</v>
      </c>
      <c r="P273" s="6" t="s">
        <v>38</v>
      </c>
      <c r="R273" s="6">
        <v>16</v>
      </c>
      <c r="S273">
        <v>2</v>
      </c>
      <c r="T273">
        <v>0</v>
      </c>
      <c r="U273">
        <v>0</v>
      </c>
      <c r="V273">
        <v>48</v>
      </c>
      <c r="W273">
        <v>7</v>
      </c>
    </row>
    <row r="274" spans="1:23" x14ac:dyDescent="0.2">
      <c r="B274">
        <f t="shared" si="11"/>
        <v>18</v>
      </c>
      <c r="D274" t="s">
        <v>4</v>
      </c>
      <c r="H274" s="6"/>
      <c r="I274" s="6" t="s">
        <v>34</v>
      </c>
      <c r="J274" s="6"/>
      <c r="K274" s="6">
        <v>6</v>
      </c>
      <c r="P274" s="6" t="s">
        <v>30</v>
      </c>
      <c r="R274" s="6">
        <v>15</v>
      </c>
      <c r="S274">
        <v>2</v>
      </c>
      <c r="T274">
        <v>0</v>
      </c>
      <c r="U274">
        <v>3</v>
      </c>
      <c r="V274">
        <v>48.5</v>
      </c>
      <c r="W274">
        <v>5.5</v>
      </c>
    </row>
    <row r="275" spans="1:23" x14ac:dyDescent="0.2">
      <c r="B275">
        <f t="shared" si="11"/>
        <v>19</v>
      </c>
      <c r="D275" t="s">
        <v>6</v>
      </c>
      <c r="H275" s="6"/>
      <c r="I275" s="6" t="s">
        <v>35</v>
      </c>
      <c r="J275" s="6"/>
      <c r="K275" s="6">
        <v>8</v>
      </c>
      <c r="P275" s="6" t="s">
        <v>31</v>
      </c>
      <c r="R275" s="6">
        <v>19</v>
      </c>
      <c r="S275">
        <v>2</v>
      </c>
      <c r="T275">
        <v>1</v>
      </c>
      <c r="U275">
        <v>1</v>
      </c>
      <c r="V275">
        <v>48</v>
      </c>
      <c r="W275">
        <v>7</v>
      </c>
    </row>
    <row r="276" spans="1:23" x14ac:dyDescent="0.2">
      <c r="B276">
        <f t="shared" si="11"/>
        <v>20</v>
      </c>
      <c r="D276" t="s">
        <v>7</v>
      </c>
      <c r="H276" s="6"/>
      <c r="I276" s="6" t="s">
        <v>36</v>
      </c>
      <c r="J276" s="6"/>
      <c r="K276" s="6">
        <v>6</v>
      </c>
      <c r="P276" s="6" t="s">
        <v>32</v>
      </c>
      <c r="R276" s="6">
        <v>14</v>
      </c>
      <c r="S276">
        <v>1</v>
      </c>
      <c r="T276">
        <v>0</v>
      </c>
      <c r="U276">
        <v>0</v>
      </c>
      <c r="V276">
        <v>50</v>
      </c>
      <c r="W276">
        <v>6</v>
      </c>
    </row>
    <row r="277" spans="1:23" x14ac:dyDescent="0.2">
      <c r="H277" s="6"/>
      <c r="I277" s="6" t="s">
        <v>37</v>
      </c>
      <c r="J277" s="6"/>
      <c r="K277" s="6">
        <v>7</v>
      </c>
      <c r="P277" s="6" t="s">
        <v>39</v>
      </c>
      <c r="R277" s="6">
        <v>6</v>
      </c>
      <c r="S277">
        <v>0</v>
      </c>
      <c r="T277">
        <v>0</v>
      </c>
      <c r="U277">
        <v>0</v>
      </c>
    </row>
    <row r="278" spans="1:23" x14ac:dyDescent="0.2">
      <c r="A278" s="1">
        <v>46162</v>
      </c>
      <c r="H278" s="6"/>
      <c r="I278" s="6" t="s">
        <v>38</v>
      </c>
      <c r="J278" s="6"/>
      <c r="K278" s="6">
        <v>6</v>
      </c>
      <c r="P278" s="6" t="s">
        <v>40</v>
      </c>
      <c r="R278" s="6">
        <v>6</v>
      </c>
      <c r="S278">
        <v>0</v>
      </c>
      <c r="T278">
        <v>0</v>
      </c>
      <c r="U278">
        <v>0</v>
      </c>
    </row>
    <row r="279" spans="1:23" x14ac:dyDescent="0.2">
      <c r="B279" t="s">
        <v>0</v>
      </c>
      <c r="D279" t="s">
        <v>1</v>
      </c>
      <c r="H279" s="6"/>
      <c r="I279" s="6" t="s">
        <v>30</v>
      </c>
      <c r="J279" s="6"/>
      <c r="K279" s="6">
        <v>7</v>
      </c>
      <c r="P279" s="6" t="s">
        <v>41</v>
      </c>
      <c r="R279" s="6">
        <v>7</v>
      </c>
      <c r="S279">
        <v>0</v>
      </c>
      <c r="T279">
        <v>0</v>
      </c>
      <c r="U279">
        <v>0</v>
      </c>
    </row>
    <row r="280" spans="1:23" x14ac:dyDescent="0.2">
      <c r="B280">
        <v>1</v>
      </c>
      <c r="D280" t="s">
        <v>6</v>
      </c>
      <c r="H280" s="6"/>
      <c r="I280" s="6" t="s">
        <v>31</v>
      </c>
      <c r="J280" s="6"/>
      <c r="K280" s="6">
        <v>6</v>
      </c>
    </row>
    <row r="281" spans="1:23" x14ac:dyDescent="0.2">
      <c r="B281">
        <f>B280+1</f>
        <v>2</v>
      </c>
      <c r="D281" t="s">
        <v>11</v>
      </c>
      <c r="H281" s="6"/>
      <c r="I281" s="6" t="s">
        <v>32</v>
      </c>
      <c r="J281" s="6"/>
      <c r="K281" s="7">
        <v>6</v>
      </c>
    </row>
    <row r="282" spans="1:23" x14ac:dyDescent="0.2">
      <c r="B282">
        <f t="shared" ref="B282:B299" si="12">B281+1</f>
        <v>3</v>
      </c>
      <c r="H282" s="6"/>
      <c r="I282" s="6" t="s">
        <v>39</v>
      </c>
      <c r="J282" s="6"/>
      <c r="K282" s="7">
        <v>8</v>
      </c>
    </row>
    <row r="283" spans="1:23" x14ac:dyDescent="0.2">
      <c r="B283">
        <f t="shared" si="12"/>
        <v>4</v>
      </c>
      <c r="D283" t="s">
        <v>9</v>
      </c>
      <c r="H283" s="6"/>
      <c r="I283" s="6" t="s">
        <v>40</v>
      </c>
      <c r="J283" s="6"/>
      <c r="K283" s="7">
        <v>9</v>
      </c>
    </row>
    <row r="284" spans="1:23" x14ac:dyDescent="0.2">
      <c r="B284">
        <f t="shared" si="12"/>
        <v>5</v>
      </c>
      <c r="D284" t="s">
        <v>3</v>
      </c>
      <c r="H284" s="6"/>
      <c r="I284" s="6" t="s">
        <v>41</v>
      </c>
      <c r="J284" s="6"/>
      <c r="K284" s="7">
        <v>6</v>
      </c>
    </row>
    <row r="285" spans="1:23" x14ac:dyDescent="0.2">
      <c r="B285">
        <f t="shared" si="12"/>
        <v>6</v>
      </c>
      <c r="D285" t="s">
        <v>7</v>
      </c>
    </row>
    <row r="286" spans="1:23" x14ac:dyDescent="0.2">
      <c r="B286">
        <f t="shared" si="12"/>
        <v>7</v>
      </c>
      <c r="D286" t="s">
        <v>3</v>
      </c>
      <c r="H286" s="5">
        <v>46193</v>
      </c>
      <c r="I286" s="6"/>
      <c r="J286" s="6"/>
      <c r="K286" s="6"/>
    </row>
    <row r="287" spans="1:23" x14ac:dyDescent="0.2">
      <c r="B287">
        <f t="shared" si="12"/>
        <v>8</v>
      </c>
      <c r="D287" t="s">
        <v>7</v>
      </c>
      <c r="H287" s="6"/>
      <c r="I287" s="6" t="s">
        <v>0</v>
      </c>
      <c r="J287" s="6"/>
      <c r="K287" s="6" t="s">
        <v>1</v>
      </c>
    </row>
    <row r="288" spans="1:23" x14ac:dyDescent="0.2">
      <c r="B288">
        <f t="shared" si="12"/>
        <v>9</v>
      </c>
      <c r="D288" s="2" t="s">
        <v>12</v>
      </c>
      <c r="H288" s="6"/>
      <c r="I288" s="6" t="s">
        <v>33</v>
      </c>
      <c r="J288" s="6"/>
      <c r="K288" s="6">
        <v>9</v>
      </c>
    </row>
    <row r="289" spans="1:11" x14ac:dyDescent="0.2">
      <c r="B289">
        <f t="shared" si="12"/>
        <v>10</v>
      </c>
      <c r="H289" s="6"/>
      <c r="I289" s="6" t="s">
        <v>34</v>
      </c>
      <c r="J289" s="6"/>
      <c r="K289" s="6">
        <v>6</v>
      </c>
    </row>
    <row r="290" spans="1:11" x14ac:dyDescent="0.2">
      <c r="B290">
        <f t="shared" si="12"/>
        <v>11</v>
      </c>
      <c r="D290" t="s">
        <v>13</v>
      </c>
      <c r="H290" s="6"/>
      <c r="I290" s="6" t="s">
        <v>35</v>
      </c>
      <c r="J290" s="6"/>
      <c r="K290" s="6">
        <v>8</v>
      </c>
    </row>
    <row r="291" spans="1:11" x14ac:dyDescent="0.2">
      <c r="B291">
        <f t="shared" si="12"/>
        <v>12</v>
      </c>
      <c r="D291" t="s">
        <v>6</v>
      </c>
      <c r="H291" s="6"/>
      <c r="I291" s="6" t="s">
        <v>36</v>
      </c>
      <c r="J291" s="6"/>
      <c r="K291" s="6">
        <v>6</v>
      </c>
    </row>
    <row r="292" spans="1:11" x14ac:dyDescent="0.2">
      <c r="B292">
        <f t="shared" si="12"/>
        <v>13</v>
      </c>
      <c r="D292" t="s">
        <v>3</v>
      </c>
      <c r="H292" s="6"/>
      <c r="I292" s="6" t="s">
        <v>37</v>
      </c>
      <c r="J292" s="6"/>
      <c r="K292" s="6">
        <v>7</v>
      </c>
    </row>
    <row r="293" spans="1:11" x14ac:dyDescent="0.2">
      <c r="B293">
        <f t="shared" si="12"/>
        <v>14</v>
      </c>
      <c r="D293" t="s">
        <v>6</v>
      </c>
      <c r="H293" s="6"/>
      <c r="I293" s="6" t="s">
        <v>38</v>
      </c>
      <c r="J293" s="6"/>
      <c r="K293" s="6">
        <v>6</v>
      </c>
    </row>
    <row r="294" spans="1:11" x14ac:dyDescent="0.2">
      <c r="B294">
        <f t="shared" si="12"/>
        <v>15</v>
      </c>
      <c r="D294" t="s">
        <v>9</v>
      </c>
      <c r="H294" s="6"/>
      <c r="I294" s="6" t="s">
        <v>30</v>
      </c>
      <c r="J294" s="6"/>
      <c r="K294" s="6">
        <v>7</v>
      </c>
    </row>
    <row r="295" spans="1:11" x14ac:dyDescent="0.2">
      <c r="B295">
        <f t="shared" si="12"/>
        <v>16</v>
      </c>
      <c r="D295" t="s">
        <v>3</v>
      </c>
      <c r="H295" s="6"/>
      <c r="I295" s="6" t="s">
        <v>31</v>
      </c>
      <c r="J295" s="6"/>
      <c r="K295" s="6">
        <v>6</v>
      </c>
    </row>
    <row r="296" spans="1:11" x14ac:dyDescent="0.2">
      <c r="B296">
        <f t="shared" si="12"/>
        <v>17</v>
      </c>
      <c r="D296" t="s">
        <v>14</v>
      </c>
      <c r="H296" s="6"/>
      <c r="I296" s="6" t="s">
        <v>32</v>
      </c>
      <c r="J296" s="6"/>
      <c r="K296" s="7">
        <v>6</v>
      </c>
    </row>
    <row r="297" spans="1:11" x14ac:dyDescent="0.2">
      <c r="B297">
        <f t="shared" si="12"/>
        <v>18</v>
      </c>
      <c r="D297" t="s">
        <v>4</v>
      </c>
      <c r="H297" s="6"/>
      <c r="I297" s="6" t="s">
        <v>39</v>
      </c>
      <c r="J297" s="6"/>
      <c r="K297" s="7">
        <v>8</v>
      </c>
    </row>
    <row r="298" spans="1:11" x14ac:dyDescent="0.2">
      <c r="B298">
        <f t="shared" si="12"/>
        <v>19</v>
      </c>
      <c r="D298" t="s">
        <v>6</v>
      </c>
      <c r="H298" s="6"/>
      <c r="I298" s="6" t="s">
        <v>40</v>
      </c>
      <c r="J298" s="6"/>
      <c r="K298" s="7">
        <v>9</v>
      </c>
    </row>
    <row r="299" spans="1:11" x14ac:dyDescent="0.2">
      <c r="B299">
        <f t="shared" si="12"/>
        <v>20</v>
      </c>
      <c r="D299" t="s">
        <v>7</v>
      </c>
      <c r="H299" s="6"/>
      <c r="I299" s="6" t="s">
        <v>41</v>
      </c>
      <c r="J299" s="6"/>
      <c r="K299" s="7">
        <v>6</v>
      </c>
    </row>
    <row r="301" spans="1:11" x14ac:dyDescent="0.2">
      <c r="A301" s="1">
        <v>46163</v>
      </c>
      <c r="H301" s="5">
        <v>46194</v>
      </c>
      <c r="I301" s="6"/>
      <c r="J301" s="6"/>
      <c r="K301" s="6"/>
    </row>
    <row r="302" spans="1:11" x14ac:dyDescent="0.2">
      <c r="B302" t="s">
        <v>0</v>
      </c>
      <c r="D302" t="s">
        <v>1</v>
      </c>
      <c r="H302" s="6"/>
      <c r="I302" s="6" t="s">
        <v>0</v>
      </c>
      <c r="J302" s="6"/>
      <c r="K302" s="6" t="s">
        <v>1</v>
      </c>
    </row>
    <row r="303" spans="1:11" x14ac:dyDescent="0.2">
      <c r="B303">
        <v>1</v>
      </c>
      <c r="D303" t="s">
        <v>6</v>
      </c>
      <c r="H303" s="6"/>
      <c r="I303" s="6" t="s">
        <v>33</v>
      </c>
      <c r="J303" s="6"/>
      <c r="K303" s="6">
        <v>9</v>
      </c>
    </row>
    <row r="304" spans="1:11" x14ac:dyDescent="0.2">
      <c r="B304">
        <f>B303+1</f>
        <v>2</v>
      </c>
      <c r="D304" t="s">
        <v>11</v>
      </c>
      <c r="H304" s="6"/>
      <c r="I304" s="6" t="s">
        <v>34</v>
      </c>
      <c r="J304" s="6"/>
      <c r="K304" s="6">
        <v>6</v>
      </c>
    </row>
    <row r="305" spans="2:11" x14ac:dyDescent="0.2">
      <c r="B305">
        <f t="shared" ref="B305:B322" si="13">B304+1</f>
        <v>3</v>
      </c>
      <c r="H305" s="6"/>
      <c r="I305" s="6" t="s">
        <v>35</v>
      </c>
      <c r="J305" s="6"/>
      <c r="K305" s="6">
        <v>9</v>
      </c>
    </row>
    <row r="306" spans="2:11" x14ac:dyDescent="0.2">
      <c r="B306">
        <f t="shared" si="13"/>
        <v>4</v>
      </c>
      <c r="D306" t="s">
        <v>9</v>
      </c>
      <c r="H306" s="6"/>
      <c r="I306" s="6" t="s">
        <v>36</v>
      </c>
      <c r="J306" s="6"/>
      <c r="K306" s="6">
        <v>6</v>
      </c>
    </row>
    <row r="307" spans="2:11" x14ac:dyDescent="0.2">
      <c r="B307">
        <f t="shared" si="13"/>
        <v>5</v>
      </c>
      <c r="D307" t="s">
        <v>3</v>
      </c>
      <c r="H307" s="6"/>
      <c r="I307" s="6" t="s">
        <v>37</v>
      </c>
      <c r="J307" s="6"/>
      <c r="K307" s="6">
        <v>7</v>
      </c>
    </row>
    <row r="308" spans="2:11" x14ac:dyDescent="0.2">
      <c r="B308">
        <f t="shared" si="13"/>
        <v>6</v>
      </c>
      <c r="D308" t="s">
        <v>15</v>
      </c>
      <c r="H308" s="6"/>
      <c r="I308" s="6" t="s">
        <v>38</v>
      </c>
      <c r="J308" s="6"/>
      <c r="K308" s="6">
        <v>7</v>
      </c>
    </row>
    <row r="309" spans="2:11" x14ac:dyDescent="0.2">
      <c r="B309">
        <f t="shared" si="13"/>
        <v>7</v>
      </c>
      <c r="D309" t="s">
        <v>3</v>
      </c>
      <c r="H309" s="6"/>
      <c r="I309" s="6" t="s">
        <v>30</v>
      </c>
      <c r="J309" s="6"/>
      <c r="K309" s="6">
        <v>8</v>
      </c>
    </row>
    <row r="310" spans="2:11" x14ac:dyDescent="0.2">
      <c r="B310">
        <f t="shared" si="13"/>
        <v>8</v>
      </c>
      <c r="D310" t="s">
        <v>7</v>
      </c>
      <c r="H310" s="6"/>
      <c r="I310" s="6" t="s">
        <v>31</v>
      </c>
      <c r="J310" s="6"/>
      <c r="K310" s="6">
        <v>6</v>
      </c>
    </row>
    <row r="311" spans="2:11" x14ac:dyDescent="0.2">
      <c r="B311">
        <f t="shared" si="13"/>
        <v>9</v>
      </c>
      <c r="D311" s="2" t="s">
        <v>12</v>
      </c>
      <c r="H311" s="6"/>
      <c r="I311" s="6" t="s">
        <v>32</v>
      </c>
      <c r="J311" s="6"/>
      <c r="K311" s="7">
        <v>7</v>
      </c>
    </row>
    <row r="312" spans="2:11" x14ac:dyDescent="0.2">
      <c r="B312">
        <f t="shared" si="13"/>
        <v>10</v>
      </c>
      <c r="H312" s="6"/>
      <c r="I312" s="6" t="s">
        <v>39</v>
      </c>
      <c r="J312" s="6"/>
      <c r="K312" s="7">
        <v>8</v>
      </c>
    </row>
    <row r="313" spans="2:11" x14ac:dyDescent="0.2">
      <c r="B313">
        <f t="shared" si="13"/>
        <v>11</v>
      </c>
      <c r="D313" t="s">
        <v>13</v>
      </c>
      <c r="H313" s="6"/>
      <c r="I313" s="6" t="s">
        <v>40</v>
      </c>
      <c r="J313" s="6"/>
      <c r="K313" s="7">
        <v>9</v>
      </c>
    </row>
    <row r="314" spans="2:11" x14ac:dyDescent="0.2">
      <c r="B314">
        <f t="shared" si="13"/>
        <v>12</v>
      </c>
      <c r="D314" t="s">
        <v>6</v>
      </c>
      <c r="H314" s="6"/>
      <c r="I314" s="6" t="s">
        <v>41</v>
      </c>
      <c r="J314" s="6"/>
      <c r="K314" s="7">
        <v>6</v>
      </c>
    </row>
    <row r="315" spans="2:11" x14ac:dyDescent="0.2">
      <c r="B315">
        <f t="shared" si="13"/>
        <v>13</v>
      </c>
      <c r="D315" t="s">
        <v>3</v>
      </c>
    </row>
    <row r="316" spans="2:11" x14ac:dyDescent="0.2">
      <c r="B316">
        <f t="shared" si="13"/>
        <v>14</v>
      </c>
      <c r="D316" t="s">
        <v>6</v>
      </c>
      <c r="H316" s="5">
        <v>46195</v>
      </c>
      <c r="I316" s="6"/>
      <c r="J316" s="6"/>
      <c r="K316" s="6"/>
    </row>
    <row r="317" spans="2:11" x14ac:dyDescent="0.2">
      <c r="B317">
        <f t="shared" si="13"/>
        <v>15</v>
      </c>
      <c r="D317" t="s">
        <v>9</v>
      </c>
      <c r="H317" s="6"/>
      <c r="I317" s="6" t="s">
        <v>0</v>
      </c>
      <c r="J317" s="6"/>
      <c r="K317" s="6" t="s">
        <v>1</v>
      </c>
    </row>
    <row r="318" spans="2:11" x14ac:dyDescent="0.2">
      <c r="B318">
        <f t="shared" si="13"/>
        <v>16</v>
      </c>
      <c r="D318" t="s">
        <v>3</v>
      </c>
      <c r="H318" s="6"/>
      <c r="I318" s="6" t="s">
        <v>33</v>
      </c>
      <c r="J318" s="6"/>
      <c r="K318" s="6">
        <v>9</v>
      </c>
    </row>
    <row r="319" spans="2:11" x14ac:dyDescent="0.2">
      <c r="B319">
        <f t="shared" si="13"/>
        <v>17</v>
      </c>
      <c r="D319" t="s">
        <v>15</v>
      </c>
      <c r="H319" s="6"/>
      <c r="I319" s="6" t="s">
        <v>34</v>
      </c>
      <c r="J319" s="6"/>
      <c r="K319" s="6">
        <v>6</v>
      </c>
    </row>
    <row r="320" spans="2:11" x14ac:dyDescent="0.2">
      <c r="B320">
        <f t="shared" si="13"/>
        <v>18</v>
      </c>
      <c r="H320" s="6"/>
      <c r="I320" s="6" t="s">
        <v>35</v>
      </c>
      <c r="J320" s="6"/>
      <c r="K320" s="6">
        <v>9</v>
      </c>
    </row>
    <row r="321" spans="1:11" x14ac:dyDescent="0.2">
      <c r="B321">
        <f t="shared" si="13"/>
        <v>19</v>
      </c>
      <c r="D321" t="s">
        <v>6</v>
      </c>
      <c r="H321" s="6"/>
      <c r="I321" s="6" t="s">
        <v>36</v>
      </c>
      <c r="J321" s="6"/>
      <c r="K321" s="6">
        <v>6</v>
      </c>
    </row>
    <row r="322" spans="1:11" x14ac:dyDescent="0.2">
      <c r="B322">
        <f t="shared" si="13"/>
        <v>20</v>
      </c>
      <c r="D322" t="s">
        <v>8</v>
      </c>
      <c r="H322" s="6"/>
      <c r="I322" s="6" t="s">
        <v>37</v>
      </c>
      <c r="J322" s="6"/>
      <c r="K322" s="6">
        <v>7</v>
      </c>
    </row>
    <row r="323" spans="1:11" x14ac:dyDescent="0.2">
      <c r="H323" s="6"/>
      <c r="I323" s="6" t="s">
        <v>38</v>
      </c>
      <c r="J323" s="6"/>
      <c r="K323" s="6">
        <v>7</v>
      </c>
    </row>
    <row r="324" spans="1:11" x14ac:dyDescent="0.2">
      <c r="A324" s="1">
        <v>46164</v>
      </c>
      <c r="H324" s="6"/>
      <c r="I324" s="6" t="s">
        <v>30</v>
      </c>
      <c r="J324" s="6"/>
      <c r="K324" s="6">
        <v>8</v>
      </c>
    </row>
    <row r="325" spans="1:11" x14ac:dyDescent="0.2">
      <c r="B325" t="s">
        <v>0</v>
      </c>
      <c r="D325" t="s">
        <v>1</v>
      </c>
      <c r="H325" s="6"/>
      <c r="I325" s="6" t="s">
        <v>31</v>
      </c>
      <c r="J325" s="6"/>
      <c r="K325" s="6">
        <v>6</v>
      </c>
    </row>
    <row r="326" spans="1:11" x14ac:dyDescent="0.2">
      <c r="B326">
        <v>1</v>
      </c>
      <c r="D326" t="s">
        <v>12</v>
      </c>
      <c r="H326" s="6"/>
      <c r="I326" s="6" t="s">
        <v>32</v>
      </c>
      <c r="J326" s="6"/>
      <c r="K326" s="7">
        <v>7</v>
      </c>
    </row>
    <row r="327" spans="1:11" x14ac:dyDescent="0.2">
      <c r="B327">
        <f>B326+1</f>
        <v>2</v>
      </c>
      <c r="D327" t="s">
        <v>12</v>
      </c>
      <c r="H327" s="6"/>
      <c r="I327" s="6" t="s">
        <v>39</v>
      </c>
      <c r="J327" s="6"/>
      <c r="K327" s="7">
        <v>8</v>
      </c>
    </row>
    <row r="328" spans="1:11" x14ac:dyDescent="0.2">
      <c r="B328">
        <f t="shared" ref="B328:B345" si="14">B327+1</f>
        <v>3</v>
      </c>
      <c r="D328" t="s">
        <v>16</v>
      </c>
      <c r="H328" s="6"/>
      <c r="I328" s="6" t="s">
        <v>40</v>
      </c>
      <c r="J328" s="6"/>
      <c r="K328" s="7">
        <v>9</v>
      </c>
    </row>
    <row r="329" spans="1:11" x14ac:dyDescent="0.2">
      <c r="B329">
        <f t="shared" si="14"/>
        <v>4</v>
      </c>
      <c r="D329" t="s">
        <v>9</v>
      </c>
      <c r="H329" s="6"/>
      <c r="I329" s="6" t="s">
        <v>41</v>
      </c>
      <c r="J329" s="6"/>
      <c r="K329" s="7">
        <v>6</v>
      </c>
    </row>
    <row r="330" spans="1:11" x14ac:dyDescent="0.2">
      <c r="B330">
        <f t="shared" si="14"/>
        <v>5</v>
      </c>
      <c r="D330" t="s">
        <v>16</v>
      </c>
    </row>
    <row r="331" spans="1:11" x14ac:dyDescent="0.2">
      <c r="B331">
        <f t="shared" si="14"/>
        <v>6</v>
      </c>
      <c r="D331" t="s">
        <v>15</v>
      </c>
      <c r="H331" s="5">
        <v>46196</v>
      </c>
      <c r="I331" s="6"/>
      <c r="J331" s="6"/>
      <c r="K331" s="6"/>
    </row>
    <row r="332" spans="1:11" x14ac:dyDescent="0.2">
      <c r="B332">
        <f t="shared" si="14"/>
        <v>7</v>
      </c>
      <c r="D332" t="s">
        <v>16</v>
      </c>
      <c r="H332" s="6"/>
      <c r="I332" s="6" t="s">
        <v>0</v>
      </c>
      <c r="J332" s="6"/>
      <c r="K332" s="6" t="s">
        <v>1</v>
      </c>
    </row>
    <row r="333" spans="1:11" x14ac:dyDescent="0.2">
      <c r="B333">
        <f t="shared" si="14"/>
        <v>8</v>
      </c>
      <c r="D333" t="s">
        <v>6</v>
      </c>
      <c r="H333" s="6"/>
      <c r="I333" s="6" t="s">
        <v>33</v>
      </c>
      <c r="J333" s="6"/>
      <c r="K333" s="6">
        <v>10</v>
      </c>
    </row>
    <row r="334" spans="1:11" x14ac:dyDescent="0.2">
      <c r="B334">
        <f t="shared" si="14"/>
        <v>9</v>
      </c>
      <c r="D334" s="2" t="s">
        <v>12</v>
      </c>
      <c r="H334" s="6"/>
      <c r="I334" s="6" t="s">
        <v>34</v>
      </c>
      <c r="J334" s="6"/>
      <c r="K334" s="6">
        <v>6</v>
      </c>
    </row>
    <row r="335" spans="1:11" x14ac:dyDescent="0.2">
      <c r="B335">
        <f t="shared" si="14"/>
        <v>10</v>
      </c>
      <c r="D335" t="s">
        <v>16</v>
      </c>
      <c r="H335" s="6"/>
      <c r="I335" s="6" t="s">
        <v>35</v>
      </c>
      <c r="J335" s="6"/>
      <c r="K335" s="6">
        <v>9</v>
      </c>
    </row>
    <row r="336" spans="1:11" x14ac:dyDescent="0.2">
      <c r="B336">
        <f t="shared" si="14"/>
        <v>11</v>
      </c>
      <c r="D336" t="s">
        <v>17</v>
      </c>
      <c r="H336" s="6"/>
      <c r="I336" s="6" t="s">
        <v>36</v>
      </c>
      <c r="J336" s="6"/>
      <c r="K336" s="6">
        <v>7</v>
      </c>
    </row>
    <row r="337" spans="1:11" x14ac:dyDescent="0.2">
      <c r="B337">
        <f t="shared" si="14"/>
        <v>12</v>
      </c>
      <c r="D337" t="s">
        <v>6</v>
      </c>
      <c r="H337" s="6"/>
      <c r="I337" s="6" t="s">
        <v>37</v>
      </c>
      <c r="J337" s="6"/>
      <c r="K337" s="6">
        <v>8</v>
      </c>
    </row>
    <row r="338" spans="1:11" x14ac:dyDescent="0.2">
      <c r="B338">
        <f t="shared" si="14"/>
        <v>13</v>
      </c>
      <c r="D338" t="s">
        <v>16</v>
      </c>
      <c r="H338" s="6"/>
      <c r="I338" s="6" t="s">
        <v>38</v>
      </c>
      <c r="J338" s="6"/>
      <c r="K338" s="6">
        <v>7</v>
      </c>
    </row>
    <row r="339" spans="1:11" x14ac:dyDescent="0.2">
      <c r="B339">
        <f t="shared" si="14"/>
        <v>14</v>
      </c>
      <c r="D339" t="s">
        <v>6</v>
      </c>
      <c r="H339" s="6"/>
      <c r="I339" s="6" t="s">
        <v>30</v>
      </c>
      <c r="J339" s="6"/>
      <c r="K339" s="6">
        <v>8</v>
      </c>
    </row>
    <row r="340" spans="1:11" x14ac:dyDescent="0.2">
      <c r="B340">
        <f t="shared" si="14"/>
        <v>15</v>
      </c>
      <c r="D340" t="s">
        <v>9</v>
      </c>
      <c r="H340" s="6"/>
      <c r="I340" s="6" t="s">
        <v>31</v>
      </c>
      <c r="J340" s="6"/>
      <c r="K340" s="6">
        <v>7</v>
      </c>
    </row>
    <row r="341" spans="1:11" x14ac:dyDescent="0.2">
      <c r="B341">
        <f t="shared" si="14"/>
        <v>16</v>
      </c>
      <c r="D341" t="s">
        <v>16</v>
      </c>
      <c r="H341" s="6"/>
      <c r="I341" s="6" t="s">
        <v>32</v>
      </c>
      <c r="J341" s="6"/>
      <c r="K341" s="7">
        <v>7</v>
      </c>
    </row>
    <row r="342" spans="1:11" x14ac:dyDescent="0.2">
      <c r="B342">
        <f t="shared" si="14"/>
        <v>17</v>
      </c>
      <c r="D342" t="s">
        <v>15</v>
      </c>
      <c r="H342" s="6"/>
      <c r="I342" s="6" t="s">
        <v>39</v>
      </c>
      <c r="J342" s="6"/>
      <c r="K342" s="7">
        <v>8</v>
      </c>
    </row>
    <row r="343" spans="1:11" x14ac:dyDescent="0.2">
      <c r="B343">
        <f t="shared" si="14"/>
        <v>18</v>
      </c>
      <c r="D343" t="s">
        <v>16</v>
      </c>
      <c r="H343" s="6"/>
      <c r="I343" s="6" t="s">
        <v>40</v>
      </c>
      <c r="J343" s="6"/>
      <c r="K343" s="7">
        <v>9</v>
      </c>
    </row>
    <row r="344" spans="1:11" x14ac:dyDescent="0.2">
      <c r="B344">
        <f t="shared" si="14"/>
        <v>19</v>
      </c>
      <c r="D344" t="s">
        <v>6</v>
      </c>
      <c r="H344" s="6"/>
      <c r="I344" s="6" t="s">
        <v>41</v>
      </c>
      <c r="J344" s="6"/>
      <c r="K344" s="7">
        <v>6</v>
      </c>
    </row>
    <row r="345" spans="1:11" x14ac:dyDescent="0.2">
      <c r="B345">
        <f t="shared" si="14"/>
        <v>20</v>
      </c>
      <c r="D345" t="s">
        <v>8</v>
      </c>
    </row>
    <row r="346" spans="1:11" x14ac:dyDescent="0.2">
      <c r="H346" s="5">
        <v>46197</v>
      </c>
      <c r="I346" s="6"/>
      <c r="J346" s="6"/>
      <c r="K346" s="6"/>
    </row>
    <row r="347" spans="1:11" x14ac:dyDescent="0.2">
      <c r="A347" s="1">
        <v>46167</v>
      </c>
      <c r="H347" s="6"/>
      <c r="I347" s="6" t="s">
        <v>0</v>
      </c>
      <c r="J347" s="6"/>
      <c r="K347" s="6" t="s">
        <v>1</v>
      </c>
    </row>
    <row r="348" spans="1:11" x14ac:dyDescent="0.2">
      <c r="B348" t="s">
        <v>0</v>
      </c>
      <c r="D348" t="s">
        <v>1</v>
      </c>
      <c r="H348" s="6"/>
      <c r="I348" s="6" t="s">
        <v>33</v>
      </c>
      <c r="J348" s="6"/>
      <c r="K348" s="6">
        <v>10</v>
      </c>
    </row>
    <row r="349" spans="1:11" x14ac:dyDescent="0.2">
      <c r="B349">
        <v>1</v>
      </c>
      <c r="D349" t="s">
        <v>18</v>
      </c>
      <c r="H349" s="6"/>
      <c r="I349" s="6" t="s">
        <v>34</v>
      </c>
      <c r="J349" s="6"/>
      <c r="K349" s="6">
        <v>6</v>
      </c>
    </row>
    <row r="350" spans="1:11" x14ac:dyDescent="0.2">
      <c r="B350">
        <f>B349+1</f>
        <v>2</v>
      </c>
      <c r="D350" t="s">
        <v>18</v>
      </c>
      <c r="H350" s="6"/>
      <c r="I350" s="6" t="s">
        <v>35</v>
      </c>
      <c r="J350" s="6"/>
      <c r="K350" s="6">
        <v>9</v>
      </c>
    </row>
    <row r="351" spans="1:11" x14ac:dyDescent="0.2">
      <c r="B351">
        <f t="shared" ref="B351:B368" si="15">B350+1</f>
        <v>3</v>
      </c>
      <c r="D351" t="s">
        <v>3</v>
      </c>
      <c r="H351" s="6"/>
      <c r="I351" s="6" t="s">
        <v>36</v>
      </c>
      <c r="J351" s="6"/>
      <c r="K351" s="6">
        <v>7</v>
      </c>
    </row>
    <row r="352" spans="1:11" x14ac:dyDescent="0.2">
      <c r="B352">
        <f t="shared" si="15"/>
        <v>4</v>
      </c>
      <c r="D352" t="s">
        <v>19</v>
      </c>
      <c r="H352" s="6"/>
      <c r="I352" s="6" t="s">
        <v>37</v>
      </c>
      <c r="J352" s="6"/>
      <c r="K352" s="6">
        <v>8</v>
      </c>
    </row>
    <row r="353" spans="2:11" x14ac:dyDescent="0.2">
      <c r="B353">
        <f t="shared" si="15"/>
        <v>5</v>
      </c>
      <c r="D353" t="s">
        <v>3</v>
      </c>
      <c r="H353" s="6"/>
      <c r="I353" s="6" t="s">
        <v>38</v>
      </c>
      <c r="J353" s="6"/>
      <c r="K353" s="6">
        <v>7</v>
      </c>
    </row>
    <row r="354" spans="2:11" x14ac:dyDescent="0.2">
      <c r="B354">
        <f t="shared" si="15"/>
        <v>6</v>
      </c>
      <c r="D354" t="s">
        <v>20</v>
      </c>
      <c r="H354" s="6"/>
      <c r="I354" s="6" t="s">
        <v>30</v>
      </c>
      <c r="J354" s="6"/>
      <c r="K354" s="6">
        <v>8</v>
      </c>
    </row>
    <row r="355" spans="2:11" x14ac:dyDescent="0.2">
      <c r="B355">
        <f t="shared" si="15"/>
        <v>7</v>
      </c>
      <c r="D355" t="s">
        <v>4</v>
      </c>
      <c r="H355" s="6"/>
      <c r="I355" s="6" t="s">
        <v>31</v>
      </c>
      <c r="J355" s="6"/>
      <c r="K355" s="6">
        <v>7</v>
      </c>
    </row>
    <row r="356" spans="2:11" x14ac:dyDescent="0.2">
      <c r="B356">
        <f t="shared" si="15"/>
        <v>8</v>
      </c>
      <c r="D356" t="s">
        <v>6</v>
      </c>
      <c r="H356" s="6"/>
      <c r="I356" s="6" t="s">
        <v>32</v>
      </c>
      <c r="J356" s="6"/>
      <c r="K356" s="7">
        <v>7</v>
      </c>
    </row>
    <row r="357" spans="2:11" x14ac:dyDescent="0.2">
      <c r="B357">
        <f t="shared" si="15"/>
        <v>9</v>
      </c>
      <c r="D357" s="2" t="s">
        <v>18</v>
      </c>
      <c r="H357" s="6"/>
      <c r="I357" s="6" t="s">
        <v>39</v>
      </c>
      <c r="J357" s="6"/>
      <c r="K357" s="7">
        <v>8</v>
      </c>
    </row>
    <row r="358" spans="2:11" x14ac:dyDescent="0.2">
      <c r="B358">
        <f t="shared" si="15"/>
        <v>10</v>
      </c>
      <c r="D358" t="s">
        <v>4</v>
      </c>
      <c r="H358" s="6"/>
      <c r="I358" s="6" t="s">
        <v>40</v>
      </c>
      <c r="J358" s="6"/>
      <c r="K358" s="7">
        <v>9</v>
      </c>
    </row>
    <row r="359" spans="2:11" x14ac:dyDescent="0.2">
      <c r="B359">
        <f t="shared" si="15"/>
        <v>11</v>
      </c>
      <c r="D359" t="s">
        <v>17</v>
      </c>
      <c r="H359" s="6"/>
      <c r="I359" s="6" t="s">
        <v>41</v>
      </c>
      <c r="J359" s="6"/>
      <c r="K359" s="7">
        <v>6</v>
      </c>
    </row>
    <row r="360" spans="2:11" x14ac:dyDescent="0.2">
      <c r="B360">
        <f t="shared" si="15"/>
        <v>12</v>
      </c>
      <c r="D360" t="s">
        <v>12</v>
      </c>
    </row>
    <row r="361" spans="2:11" x14ac:dyDescent="0.2">
      <c r="B361">
        <f t="shared" si="15"/>
        <v>13</v>
      </c>
      <c r="D361" t="s">
        <v>4</v>
      </c>
      <c r="H361" s="5">
        <v>46198</v>
      </c>
      <c r="I361" s="6"/>
      <c r="J361" s="6"/>
      <c r="K361" s="6"/>
    </row>
    <row r="362" spans="2:11" x14ac:dyDescent="0.2">
      <c r="B362">
        <f t="shared" si="15"/>
        <v>14</v>
      </c>
      <c r="D362" t="s">
        <v>18</v>
      </c>
      <c r="H362" s="6"/>
      <c r="I362" s="6" t="s">
        <v>0</v>
      </c>
      <c r="J362" s="6"/>
      <c r="K362" s="6" t="s">
        <v>1</v>
      </c>
    </row>
    <row r="363" spans="2:11" x14ac:dyDescent="0.2">
      <c r="B363">
        <f t="shared" si="15"/>
        <v>15</v>
      </c>
      <c r="D363" t="s">
        <v>21</v>
      </c>
      <c r="H363" s="6"/>
      <c r="I363" s="6" t="s">
        <v>33</v>
      </c>
      <c r="J363" s="6"/>
      <c r="K363" s="6">
        <v>11</v>
      </c>
    </row>
    <row r="364" spans="2:11" x14ac:dyDescent="0.2">
      <c r="B364">
        <f t="shared" si="15"/>
        <v>16</v>
      </c>
      <c r="D364" t="s">
        <v>3</v>
      </c>
      <c r="H364" s="6"/>
      <c r="I364" s="6" t="s">
        <v>34</v>
      </c>
      <c r="J364" s="6"/>
      <c r="K364" s="6">
        <v>6</v>
      </c>
    </row>
    <row r="365" spans="2:11" x14ac:dyDescent="0.2">
      <c r="B365">
        <f t="shared" si="15"/>
        <v>17</v>
      </c>
      <c r="D365" t="s">
        <v>20</v>
      </c>
      <c r="H365" s="6"/>
      <c r="I365" s="6" t="s">
        <v>35</v>
      </c>
      <c r="J365" s="6"/>
      <c r="K365" s="6">
        <v>9</v>
      </c>
    </row>
    <row r="366" spans="2:11" x14ac:dyDescent="0.2">
      <c r="B366">
        <f t="shared" si="15"/>
        <v>18</v>
      </c>
      <c r="D366" t="s">
        <v>3</v>
      </c>
      <c r="H366" s="6"/>
      <c r="I366" s="6" t="s">
        <v>36</v>
      </c>
      <c r="J366" s="6"/>
      <c r="K366" s="6">
        <v>8</v>
      </c>
    </row>
    <row r="367" spans="2:11" x14ac:dyDescent="0.2">
      <c r="B367">
        <f t="shared" si="15"/>
        <v>19</v>
      </c>
      <c r="D367" t="s">
        <v>6</v>
      </c>
      <c r="H367" s="6"/>
      <c r="I367" s="6" t="s">
        <v>37</v>
      </c>
      <c r="J367" s="6"/>
      <c r="K367" s="6">
        <v>8</v>
      </c>
    </row>
    <row r="368" spans="2:11" x14ac:dyDescent="0.2">
      <c r="B368">
        <f t="shared" si="15"/>
        <v>20</v>
      </c>
      <c r="D368" t="s">
        <v>18</v>
      </c>
      <c r="H368" s="6"/>
      <c r="I368" s="6" t="s">
        <v>38</v>
      </c>
      <c r="J368" s="6"/>
      <c r="K368" s="6">
        <v>7</v>
      </c>
    </row>
    <row r="369" spans="1:11" x14ac:dyDescent="0.2">
      <c r="H369" s="6"/>
      <c r="I369" s="6" t="s">
        <v>30</v>
      </c>
      <c r="J369" s="6"/>
      <c r="K369" s="6">
        <v>9</v>
      </c>
    </row>
    <row r="370" spans="1:11" x14ac:dyDescent="0.2">
      <c r="A370" s="1">
        <v>46168</v>
      </c>
      <c r="H370" s="6"/>
      <c r="I370" s="6" t="s">
        <v>31</v>
      </c>
      <c r="J370" s="6"/>
      <c r="K370" s="6">
        <v>7</v>
      </c>
    </row>
    <row r="371" spans="1:11" x14ac:dyDescent="0.2">
      <c r="B371" t="s">
        <v>0</v>
      </c>
      <c r="D371" t="s">
        <v>1</v>
      </c>
      <c r="H371" s="6"/>
      <c r="I371" s="6" t="s">
        <v>32</v>
      </c>
      <c r="J371" s="6"/>
      <c r="K371" s="7">
        <v>8</v>
      </c>
    </row>
    <row r="372" spans="1:11" x14ac:dyDescent="0.2">
      <c r="B372">
        <v>1</v>
      </c>
      <c r="D372" t="s">
        <v>18</v>
      </c>
      <c r="H372" s="6"/>
      <c r="I372" s="6" t="s">
        <v>39</v>
      </c>
      <c r="J372" s="6"/>
      <c r="K372" s="7">
        <v>8</v>
      </c>
    </row>
    <row r="373" spans="1:11" x14ac:dyDescent="0.2">
      <c r="B373">
        <f>B372+1</f>
        <v>2</v>
      </c>
      <c r="D373" t="s">
        <v>18</v>
      </c>
      <c r="H373" s="6"/>
      <c r="I373" s="6" t="s">
        <v>40</v>
      </c>
      <c r="J373" s="6"/>
      <c r="K373" s="7">
        <v>9</v>
      </c>
    </row>
    <row r="374" spans="1:11" x14ac:dyDescent="0.2">
      <c r="B374">
        <f t="shared" ref="B374:B391" si="16">B373+1</f>
        <v>3</v>
      </c>
      <c r="D374" t="s">
        <v>10</v>
      </c>
      <c r="H374" s="6"/>
      <c r="I374" s="6" t="s">
        <v>41</v>
      </c>
      <c r="J374" s="6"/>
      <c r="K374" s="7">
        <v>7</v>
      </c>
    </row>
    <row r="375" spans="1:11" x14ac:dyDescent="0.2">
      <c r="B375">
        <f t="shared" si="16"/>
        <v>4</v>
      </c>
      <c r="D375" t="s">
        <v>19</v>
      </c>
    </row>
    <row r="376" spans="1:11" x14ac:dyDescent="0.2">
      <c r="B376">
        <f t="shared" si="16"/>
        <v>5</v>
      </c>
      <c r="D376" t="s">
        <v>8</v>
      </c>
      <c r="H376" s="5">
        <v>46199</v>
      </c>
      <c r="I376" s="6"/>
      <c r="J376" s="6"/>
      <c r="K376" s="6"/>
    </row>
    <row r="377" spans="1:11" x14ac:dyDescent="0.2">
      <c r="B377">
        <f t="shared" si="16"/>
        <v>6</v>
      </c>
      <c r="D377" t="s">
        <v>20</v>
      </c>
      <c r="H377" s="6"/>
      <c r="I377" s="6" t="s">
        <v>0</v>
      </c>
      <c r="J377" s="6"/>
      <c r="K377" s="6" t="s">
        <v>1</v>
      </c>
    </row>
    <row r="378" spans="1:11" x14ac:dyDescent="0.2">
      <c r="B378">
        <f t="shared" si="16"/>
        <v>7</v>
      </c>
      <c r="D378" t="s">
        <v>6</v>
      </c>
      <c r="H378" s="6"/>
      <c r="I378" s="6" t="s">
        <v>33</v>
      </c>
      <c r="J378" s="6"/>
      <c r="K378" s="6">
        <v>13</v>
      </c>
    </row>
    <row r="379" spans="1:11" x14ac:dyDescent="0.2">
      <c r="B379">
        <f t="shared" si="16"/>
        <v>8</v>
      </c>
      <c r="D379" t="s">
        <v>6</v>
      </c>
      <c r="H379" s="6"/>
      <c r="I379" s="6" t="s">
        <v>34</v>
      </c>
      <c r="J379" s="6"/>
      <c r="K379" s="6">
        <v>7</v>
      </c>
    </row>
    <row r="380" spans="1:11" x14ac:dyDescent="0.2">
      <c r="B380">
        <f t="shared" si="16"/>
        <v>9</v>
      </c>
      <c r="D380" s="2" t="s">
        <v>18</v>
      </c>
      <c r="H380" s="6"/>
      <c r="I380" s="6" t="s">
        <v>35</v>
      </c>
      <c r="J380" s="6"/>
      <c r="K380" s="6">
        <v>9</v>
      </c>
    </row>
    <row r="381" spans="1:11" x14ac:dyDescent="0.2">
      <c r="B381">
        <f t="shared" si="16"/>
        <v>10</v>
      </c>
      <c r="D381" t="s">
        <v>7</v>
      </c>
      <c r="H381" s="6"/>
      <c r="I381" s="6" t="s">
        <v>36</v>
      </c>
      <c r="J381" s="6"/>
      <c r="K381" s="6">
        <v>8</v>
      </c>
    </row>
    <row r="382" spans="1:11" x14ac:dyDescent="0.2">
      <c r="B382">
        <f t="shared" si="16"/>
        <v>11</v>
      </c>
      <c r="D382" t="s">
        <v>22</v>
      </c>
      <c r="H382" s="6"/>
      <c r="I382" s="6" t="s">
        <v>37</v>
      </c>
      <c r="J382" s="6"/>
      <c r="K382" s="6">
        <v>8</v>
      </c>
    </row>
    <row r="383" spans="1:11" x14ac:dyDescent="0.2">
      <c r="B383">
        <f t="shared" si="16"/>
        <v>12</v>
      </c>
      <c r="D383" t="s">
        <v>23</v>
      </c>
      <c r="H383" s="6"/>
      <c r="I383" s="6" t="s">
        <v>38</v>
      </c>
      <c r="J383" s="6"/>
      <c r="K383" s="6">
        <v>8</v>
      </c>
    </row>
    <row r="384" spans="1:11" x14ac:dyDescent="0.2">
      <c r="B384">
        <f t="shared" si="16"/>
        <v>13</v>
      </c>
      <c r="D384" t="s">
        <v>8</v>
      </c>
      <c r="H384" s="6"/>
      <c r="I384" s="6" t="s">
        <v>30</v>
      </c>
      <c r="J384" s="6"/>
      <c r="K384" s="6">
        <v>12</v>
      </c>
    </row>
    <row r="385" spans="1:11" x14ac:dyDescent="0.2">
      <c r="B385">
        <f t="shared" si="16"/>
        <v>14</v>
      </c>
      <c r="D385" t="s">
        <v>18</v>
      </c>
      <c r="H385" s="6"/>
      <c r="I385" s="6" t="s">
        <v>31</v>
      </c>
      <c r="J385" s="6"/>
      <c r="K385" s="6">
        <v>8</v>
      </c>
    </row>
    <row r="386" spans="1:11" x14ac:dyDescent="0.2">
      <c r="B386">
        <f t="shared" si="16"/>
        <v>15</v>
      </c>
      <c r="D386" t="s">
        <v>21</v>
      </c>
      <c r="H386" s="6"/>
      <c r="I386" s="6" t="s">
        <v>32</v>
      </c>
      <c r="J386" s="6"/>
      <c r="K386" s="7">
        <v>8</v>
      </c>
    </row>
    <row r="387" spans="1:11" x14ac:dyDescent="0.2">
      <c r="B387">
        <f t="shared" si="16"/>
        <v>16</v>
      </c>
      <c r="D387" t="s">
        <v>3</v>
      </c>
      <c r="H387" s="6"/>
      <c r="I387" s="6" t="s">
        <v>39</v>
      </c>
      <c r="J387" s="6"/>
      <c r="K387" s="7">
        <v>8</v>
      </c>
    </row>
    <row r="388" spans="1:11" x14ac:dyDescent="0.2">
      <c r="B388">
        <f t="shared" si="16"/>
        <v>17</v>
      </c>
      <c r="D388" t="s">
        <v>20</v>
      </c>
      <c r="H388" s="6"/>
      <c r="I388" s="6" t="s">
        <v>40</v>
      </c>
      <c r="J388" s="6"/>
      <c r="K388" s="7">
        <v>9</v>
      </c>
    </row>
    <row r="389" spans="1:11" x14ac:dyDescent="0.2">
      <c r="B389">
        <f t="shared" si="16"/>
        <v>18</v>
      </c>
      <c r="D389" t="s">
        <v>6</v>
      </c>
      <c r="H389" s="6"/>
      <c r="I389" s="6" t="s">
        <v>41</v>
      </c>
      <c r="J389" s="6"/>
      <c r="K389" s="7">
        <v>6</v>
      </c>
    </row>
    <row r="390" spans="1:11" x14ac:dyDescent="0.2">
      <c r="B390">
        <f t="shared" si="16"/>
        <v>19</v>
      </c>
      <c r="D390" t="s">
        <v>6</v>
      </c>
    </row>
    <row r="391" spans="1:11" x14ac:dyDescent="0.2">
      <c r="B391">
        <f t="shared" si="16"/>
        <v>20</v>
      </c>
      <c r="D391" t="s">
        <v>18</v>
      </c>
      <c r="H391" s="5">
        <v>46200</v>
      </c>
      <c r="I391" s="6"/>
      <c r="J391" s="6"/>
      <c r="K391" s="6"/>
    </row>
    <row r="392" spans="1:11" x14ac:dyDescent="0.2">
      <c r="H392" s="6"/>
      <c r="I392" s="6" t="s">
        <v>0</v>
      </c>
      <c r="J392" s="6"/>
      <c r="K392" s="6" t="s">
        <v>1</v>
      </c>
    </row>
    <row r="393" spans="1:11" x14ac:dyDescent="0.2">
      <c r="A393" s="1">
        <v>46169</v>
      </c>
      <c r="H393" s="6"/>
      <c r="I393" s="6" t="s">
        <v>33</v>
      </c>
      <c r="J393" s="6"/>
      <c r="K393" s="6">
        <v>15</v>
      </c>
    </row>
    <row r="394" spans="1:11" x14ac:dyDescent="0.2">
      <c r="B394" t="s">
        <v>0</v>
      </c>
      <c r="D394" t="s">
        <v>1</v>
      </c>
      <c r="H394" s="6"/>
      <c r="I394" s="6" t="s">
        <v>34</v>
      </c>
      <c r="J394" s="6"/>
      <c r="K394" s="6">
        <v>7</v>
      </c>
    </row>
    <row r="395" spans="1:11" x14ac:dyDescent="0.2">
      <c r="B395">
        <v>1</v>
      </c>
      <c r="D395" t="s">
        <v>18</v>
      </c>
      <c r="H395" s="6"/>
      <c r="I395" s="6" t="s">
        <v>35</v>
      </c>
      <c r="J395" s="6"/>
      <c r="K395" s="6">
        <v>9</v>
      </c>
    </row>
    <row r="396" spans="1:11" x14ac:dyDescent="0.2">
      <c r="B396">
        <f>B395+1</f>
        <v>2</v>
      </c>
      <c r="D396" t="s">
        <v>18</v>
      </c>
      <c r="H396" s="6"/>
      <c r="I396" s="6" t="s">
        <v>36</v>
      </c>
      <c r="J396" s="6"/>
      <c r="K396" s="6">
        <v>7</v>
      </c>
    </row>
    <row r="397" spans="1:11" x14ac:dyDescent="0.2">
      <c r="B397">
        <f t="shared" ref="B397:B414" si="17">B396+1</f>
        <v>3</v>
      </c>
      <c r="D397" t="s">
        <v>9</v>
      </c>
      <c r="H397" s="6"/>
      <c r="I397" s="6" t="s">
        <v>37</v>
      </c>
      <c r="J397" s="6"/>
      <c r="K397" s="6">
        <v>8</v>
      </c>
    </row>
    <row r="398" spans="1:11" x14ac:dyDescent="0.2">
      <c r="B398">
        <f t="shared" si="17"/>
        <v>4</v>
      </c>
      <c r="D398" t="s">
        <v>19</v>
      </c>
      <c r="H398" s="6"/>
      <c r="I398" s="6" t="s">
        <v>38</v>
      </c>
      <c r="J398" s="6"/>
      <c r="K398" s="6">
        <v>8</v>
      </c>
    </row>
    <row r="399" spans="1:11" x14ac:dyDescent="0.2">
      <c r="B399">
        <f t="shared" si="17"/>
        <v>5</v>
      </c>
      <c r="D399" t="s">
        <v>8</v>
      </c>
      <c r="H399" s="6"/>
      <c r="I399" s="6" t="s">
        <v>30</v>
      </c>
      <c r="J399" s="6"/>
      <c r="K399" s="6">
        <v>13</v>
      </c>
    </row>
    <row r="400" spans="1:11" x14ac:dyDescent="0.2">
      <c r="B400">
        <f t="shared" si="17"/>
        <v>6</v>
      </c>
      <c r="D400" t="s">
        <v>24</v>
      </c>
      <c r="H400" s="6"/>
      <c r="I400" s="6" t="s">
        <v>31</v>
      </c>
      <c r="J400" s="6"/>
      <c r="K400" s="6">
        <v>8</v>
      </c>
    </row>
    <row r="401" spans="1:11" x14ac:dyDescent="0.2">
      <c r="B401">
        <f t="shared" si="17"/>
        <v>7</v>
      </c>
      <c r="D401" t="s">
        <v>7</v>
      </c>
      <c r="H401" s="6"/>
      <c r="I401" s="6" t="s">
        <v>32</v>
      </c>
      <c r="J401" s="6"/>
      <c r="K401" s="7">
        <v>8</v>
      </c>
    </row>
    <row r="402" spans="1:11" x14ac:dyDescent="0.2">
      <c r="B402">
        <f t="shared" si="17"/>
        <v>8</v>
      </c>
      <c r="D402" t="s">
        <v>6</v>
      </c>
      <c r="H402" s="6"/>
      <c r="I402" s="6" t="s">
        <v>39</v>
      </c>
      <c r="J402" s="6"/>
      <c r="K402" s="7">
        <v>7</v>
      </c>
    </row>
    <row r="403" spans="1:11" x14ac:dyDescent="0.2">
      <c r="B403">
        <f t="shared" si="17"/>
        <v>9</v>
      </c>
      <c r="D403" s="2" t="s">
        <v>18</v>
      </c>
      <c r="H403" s="6"/>
      <c r="I403" s="6" t="s">
        <v>40</v>
      </c>
      <c r="J403" s="6"/>
      <c r="K403" s="7">
        <v>9</v>
      </c>
    </row>
    <row r="404" spans="1:11" x14ac:dyDescent="0.2">
      <c r="B404">
        <f t="shared" si="17"/>
        <v>10</v>
      </c>
      <c r="D404" t="s">
        <v>7</v>
      </c>
      <c r="H404" s="6"/>
      <c r="I404" s="6" t="s">
        <v>41</v>
      </c>
      <c r="J404" s="6"/>
      <c r="K404" s="7">
        <v>6</v>
      </c>
    </row>
    <row r="405" spans="1:11" x14ac:dyDescent="0.2">
      <c r="B405">
        <f t="shared" si="17"/>
        <v>11</v>
      </c>
      <c r="D405" t="s">
        <v>25</v>
      </c>
    </row>
    <row r="406" spans="1:11" x14ac:dyDescent="0.2">
      <c r="B406">
        <f t="shared" si="17"/>
        <v>12</v>
      </c>
      <c r="D406" t="s">
        <v>26</v>
      </c>
      <c r="H406" s="5">
        <v>46201</v>
      </c>
      <c r="I406" s="6"/>
      <c r="J406" s="6"/>
      <c r="K406" s="6"/>
    </row>
    <row r="407" spans="1:11" x14ac:dyDescent="0.2">
      <c r="B407">
        <f t="shared" si="17"/>
        <v>13</v>
      </c>
      <c r="D407" t="s">
        <v>8</v>
      </c>
      <c r="H407" s="6"/>
      <c r="I407" s="6" t="s">
        <v>0</v>
      </c>
      <c r="J407" s="6"/>
      <c r="K407" s="6" t="s">
        <v>1</v>
      </c>
    </row>
    <row r="408" spans="1:11" x14ac:dyDescent="0.2">
      <c r="B408">
        <f t="shared" si="17"/>
        <v>14</v>
      </c>
      <c r="D408" t="s">
        <v>18</v>
      </c>
      <c r="H408" s="6"/>
      <c r="I408" s="6" t="s">
        <v>33</v>
      </c>
      <c r="J408" s="6"/>
      <c r="K408" s="6">
        <v>16</v>
      </c>
    </row>
    <row r="409" spans="1:11" x14ac:dyDescent="0.2">
      <c r="B409">
        <f t="shared" si="17"/>
        <v>15</v>
      </c>
      <c r="D409" t="s">
        <v>21</v>
      </c>
      <c r="H409" s="6"/>
      <c r="I409" s="6" t="s">
        <v>34</v>
      </c>
      <c r="J409" s="6"/>
      <c r="K409" s="6">
        <v>8</v>
      </c>
    </row>
    <row r="410" spans="1:11" x14ac:dyDescent="0.2">
      <c r="B410">
        <f t="shared" si="17"/>
        <v>16</v>
      </c>
      <c r="D410" t="s">
        <v>5</v>
      </c>
      <c r="H410" s="6"/>
      <c r="I410" s="6" t="s">
        <v>35</v>
      </c>
      <c r="J410" s="6"/>
      <c r="K410" s="6">
        <v>11</v>
      </c>
    </row>
    <row r="411" spans="1:11" x14ac:dyDescent="0.2">
      <c r="B411">
        <f t="shared" si="17"/>
        <v>17</v>
      </c>
      <c r="D411" t="s">
        <v>24</v>
      </c>
      <c r="H411" s="6"/>
      <c r="I411" s="6" t="s">
        <v>36</v>
      </c>
      <c r="J411" s="6"/>
      <c r="K411" s="6">
        <v>7</v>
      </c>
    </row>
    <row r="412" spans="1:11" x14ac:dyDescent="0.2">
      <c r="B412">
        <f t="shared" si="17"/>
        <v>18</v>
      </c>
      <c r="D412" t="s">
        <v>6</v>
      </c>
      <c r="H412" s="6"/>
      <c r="I412" s="6" t="s">
        <v>37</v>
      </c>
      <c r="J412" s="6"/>
      <c r="K412" s="6">
        <v>8</v>
      </c>
    </row>
    <row r="413" spans="1:11" x14ac:dyDescent="0.2">
      <c r="B413">
        <f t="shared" si="17"/>
        <v>19</v>
      </c>
      <c r="D413" t="s">
        <v>6</v>
      </c>
      <c r="H413" s="6"/>
      <c r="I413" s="6" t="s">
        <v>38</v>
      </c>
      <c r="J413" s="6"/>
      <c r="K413" s="6">
        <v>9</v>
      </c>
    </row>
    <row r="414" spans="1:11" x14ac:dyDescent="0.2">
      <c r="B414">
        <f t="shared" si="17"/>
        <v>20</v>
      </c>
      <c r="D414" t="s">
        <v>18</v>
      </c>
      <c r="H414" s="6"/>
      <c r="I414" s="6" t="s">
        <v>30</v>
      </c>
      <c r="J414" s="6"/>
      <c r="K414" s="6">
        <v>14</v>
      </c>
    </row>
    <row r="415" spans="1:11" x14ac:dyDescent="0.2">
      <c r="H415" s="6"/>
      <c r="I415" s="6" t="s">
        <v>31</v>
      </c>
      <c r="J415" s="6"/>
      <c r="K415" s="6">
        <v>8</v>
      </c>
    </row>
    <row r="416" spans="1:11" x14ac:dyDescent="0.2">
      <c r="A416" s="1">
        <v>46170</v>
      </c>
      <c r="H416" s="6"/>
      <c r="I416" s="6" t="s">
        <v>32</v>
      </c>
      <c r="J416" s="6"/>
      <c r="K416" s="7">
        <v>7</v>
      </c>
    </row>
    <row r="417" spans="2:11" x14ac:dyDescent="0.2">
      <c r="B417" t="s">
        <v>0</v>
      </c>
      <c r="D417" t="s">
        <v>1</v>
      </c>
      <c r="H417" s="6"/>
      <c r="I417" s="6" t="s">
        <v>39</v>
      </c>
      <c r="J417" s="6"/>
      <c r="K417" s="7">
        <v>7</v>
      </c>
    </row>
    <row r="418" spans="2:11" x14ac:dyDescent="0.2">
      <c r="B418">
        <v>1</v>
      </c>
      <c r="D418" t="s">
        <v>18</v>
      </c>
      <c r="H418" s="6"/>
      <c r="I418" s="6" t="s">
        <v>40</v>
      </c>
      <c r="J418" s="6"/>
      <c r="K418" s="7">
        <v>8</v>
      </c>
    </row>
    <row r="419" spans="2:11" x14ac:dyDescent="0.2">
      <c r="B419">
        <f>B418+1</f>
        <v>2</v>
      </c>
      <c r="D419" t="s">
        <v>18</v>
      </c>
      <c r="H419" s="6"/>
      <c r="I419" s="6" t="s">
        <v>41</v>
      </c>
      <c r="J419" s="6"/>
      <c r="K419" s="7">
        <v>5</v>
      </c>
    </row>
    <row r="420" spans="2:11" x14ac:dyDescent="0.2">
      <c r="B420">
        <f t="shared" ref="B420:B437" si="18">B419+1</f>
        <v>3</v>
      </c>
      <c r="D420" t="s">
        <v>9</v>
      </c>
    </row>
    <row r="421" spans="2:11" x14ac:dyDescent="0.2">
      <c r="B421">
        <f t="shared" si="18"/>
        <v>4</v>
      </c>
      <c r="D421" t="s">
        <v>19</v>
      </c>
      <c r="H421" s="5">
        <v>46202</v>
      </c>
      <c r="I421" s="6"/>
      <c r="J421" s="6"/>
      <c r="K421" s="6"/>
    </row>
    <row r="422" spans="2:11" x14ac:dyDescent="0.2">
      <c r="B422">
        <f t="shared" si="18"/>
        <v>5</v>
      </c>
      <c r="D422" t="s">
        <v>9</v>
      </c>
      <c r="H422" s="6"/>
      <c r="I422" s="6" t="s">
        <v>0</v>
      </c>
      <c r="J422" s="6"/>
      <c r="K422" s="6" t="s">
        <v>1</v>
      </c>
    </row>
    <row r="423" spans="2:11" x14ac:dyDescent="0.2">
      <c r="B423">
        <f t="shared" si="18"/>
        <v>6</v>
      </c>
      <c r="D423" t="s">
        <v>24</v>
      </c>
      <c r="H423" s="6"/>
      <c r="I423" s="6" t="s">
        <v>33</v>
      </c>
      <c r="J423" s="6"/>
      <c r="K423" s="6">
        <v>16</v>
      </c>
    </row>
    <row r="424" spans="2:11" x14ac:dyDescent="0.2">
      <c r="B424">
        <f t="shared" si="18"/>
        <v>7</v>
      </c>
      <c r="D424" t="s">
        <v>7</v>
      </c>
      <c r="H424" s="6"/>
      <c r="I424" s="6" t="s">
        <v>34</v>
      </c>
      <c r="J424" s="6"/>
      <c r="K424" s="6">
        <v>8</v>
      </c>
    </row>
    <row r="425" spans="2:11" x14ac:dyDescent="0.2">
      <c r="B425">
        <f t="shared" si="18"/>
        <v>8</v>
      </c>
      <c r="D425" t="s">
        <v>6</v>
      </c>
      <c r="H425" s="6"/>
      <c r="I425" s="6" t="s">
        <v>35</v>
      </c>
      <c r="J425" s="6"/>
      <c r="K425" s="6">
        <v>11</v>
      </c>
    </row>
    <row r="426" spans="2:11" x14ac:dyDescent="0.2">
      <c r="B426">
        <f t="shared" si="18"/>
        <v>9</v>
      </c>
      <c r="D426" s="2" t="s">
        <v>18</v>
      </c>
      <c r="H426" s="6"/>
      <c r="I426" s="6" t="s">
        <v>36</v>
      </c>
      <c r="J426" s="6"/>
      <c r="K426" s="6">
        <v>7</v>
      </c>
    </row>
    <row r="427" spans="2:11" x14ac:dyDescent="0.2">
      <c r="B427">
        <f t="shared" si="18"/>
        <v>10</v>
      </c>
      <c r="D427" t="s">
        <v>7</v>
      </c>
      <c r="H427" s="6"/>
      <c r="I427" s="6" t="s">
        <v>37</v>
      </c>
      <c r="J427" s="6"/>
      <c r="K427" s="6">
        <v>8</v>
      </c>
    </row>
    <row r="428" spans="2:11" x14ac:dyDescent="0.2">
      <c r="B428">
        <f t="shared" si="18"/>
        <v>11</v>
      </c>
      <c r="D428" t="s">
        <v>25</v>
      </c>
      <c r="H428" s="6"/>
      <c r="I428" s="6" t="s">
        <v>38</v>
      </c>
      <c r="J428" s="6"/>
      <c r="K428" s="6">
        <v>9</v>
      </c>
    </row>
    <row r="429" spans="2:11" x14ac:dyDescent="0.2">
      <c r="B429">
        <f t="shared" si="18"/>
        <v>12</v>
      </c>
      <c r="D429" t="s">
        <v>26</v>
      </c>
      <c r="H429" s="6"/>
      <c r="I429" s="6" t="s">
        <v>30</v>
      </c>
      <c r="J429" s="6"/>
      <c r="K429" s="6">
        <v>14</v>
      </c>
    </row>
    <row r="430" spans="2:11" x14ac:dyDescent="0.2">
      <c r="B430">
        <f t="shared" si="18"/>
        <v>13</v>
      </c>
      <c r="D430" t="s">
        <v>48</v>
      </c>
      <c r="H430" s="6"/>
      <c r="I430" s="6" t="s">
        <v>31</v>
      </c>
      <c r="J430" s="6"/>
      <c r="K430" s="6">
        <v>8</v>
      </c>
    </row>
    <row r="431" spans="2:11" x14ac:dyDescent="0.2">
      <c r="B431">
        <f t="shared" si="18"/>
        <v>14</v>
      </c>
      <c r="D431" t="s">
        <v>18</v>
      </c>
      <c r="H431" s="6"/>
      <c r="I431" s="6" t="s">
        <v>32</v>
      </c>
      <c r="J431" s="6"/>
      <c r="K431" s="7">
        <v>7</v>
      </c>
    </row>
    <row r="432" spans="2:11" x14ac:dyDescent="0.2">
      <c r="B432">
        <f t="shared" si="18"/>
        <v>15</v>
      </c>
      <c r="D432" t="s">
        <v>21</v>
      </c>
      <c r="H432" s="6"/>
      <c r="I432" s="6" t="s">
        <v>39</v>
      </c>
      <c r="J432" s="6"/>
      <c r="K432" s="7">
        <v>7</v>
      </c>
    </row>
    <row r="433" spans="1:11" x14ac:dyDescent="0.2">
      <c r="B433">
        <f t="shared" si="18"/>
        <v>16</v>
      </c>
      <c r="D433" t="s">
        <v>8</v>
      </c>
      <c r="H433" s="6"/>
      <c r="I433" s="6" t="s">
        <v>40</v>
      </c>
      <c r="J433" s="6"/>
      <c r="K433" s="7">
        <v>8</v>
      </c>
    </row>
    <row r="434" spans="1:11" x14ac:dyDescent="0.2">
      <c r="B434">
        <f t="shared" si="18"/>
        <v>17</v>
      </c>
      <c r="D434" t="s">
        <v>24</v>
      </c>
      <c r="H434" s="6"/>
      <c r="I434" s="6" t="s">
        <v>41</v>
      </c>
      <c r="J434" s="6"/>
      <c r="K434" s="7">
        <v>5</v>
      </c>
    </row>
    <row r="435" spans="1:11" x14ac:dyDescent="0.2">
      <c r="B435">
        <f t="shared" si="18"/>
        <v>18</v>
      </c>
      <c r="D435" t="s">
        <v>6</v>
      </c>
    </row>
    <row r="436" spans="1:11" x14ac:dyDescent="0.2">
      <c r="B436">
        <f t="shared" si="18"/>
        <v>19</v>
      </c>
      <c r="D436" t="s">
        <v>18</v>
      </c>
      <c r="H436" s="5">
        <v>46203</v>
      </c>
      <c r="I436" s="6"/>
      <c r="J436" s="6"/>
      <c r="K436" s="6"/>
    </row>
    <row r="437" spans="1:11" x14ac:dyDescent="0.2">
      <c r="B437">
        <f t="shared" si="18"/>
        <v>20</v>
      </c>
      <c r="D437" t="s">
        <v>18</v>
      </c>
      <c r="H437" s="6"/>
      <c r="I437" s="6" t="s">
        <v>0</v>
      </c>
      <c r="J437" s="6"/>
      <c r="K437" s="6" t="s">
        <v>1</v>
      </c>
    </row>
    <row r="438" spans="1:11" x14ac:dyDescent="0.2">
      <c r="H438" s="6"/>
      <c r="I438" s="6" t="s">
        <v>33</v>
      </c>
      <c r="J438" s="6"/>
      <c r="K438" s="6">
        <v>16</v>
      </c>
    </row>
    <row r="439" spans="1:11" x14ac:dyDescent="0.2">
      <c r="A439" s="1">
        <v>46171</v>
      </c>
      <c r="H439" s="6"/>
      <c r="I439" s="6" t="s">
        <v>34</v>
      </c>
      <c r="J439" s="6"/>
      <c r="K439" s="6">
        <v>8</v>
      </c>
    </row>
    <row r="440" spans="1:11" x14ac:dyDescent="0.2">
      <c r="B440" t="s">
        <v>0</v>
      </c>
      <c r="D440" t="s">
        <v>1</v>
      </c>
      <c r="H440" s="6"/>
      <c r="I440" s="6" t="s">
        <v>35</v>
      </c>
      <c r="J440" s="6"/>
      <c r="K440" s="6">
        <v>11</v>
      </c>
    </row>
    <row r="441" spans="1:11" x14ac:dyDescent="0.2">
      <c r="B441">
        <v>1</v>
      </c>
      <c r="D441" t="s">
        <v>18</v>
      </c>
      <c r="H441" s="6"/>
      <c r="I441" s="6" t="s">
        <v>36</v>
      </c>
      <c r="J441" s="6"/>
      <c r="K441" s="6">
        <v>7</v>
      </c>
    </row>
    <row r="442" spans="1:11" x14ac:dyDescent="0.2">
      <c r="B442">
        <f>B441+1</f>
        <v>2</v>
      </c>
      <c r="D442" t="s">
        <v>18</v>
      </c>
      <c r="H442" s="6"/>
      <c r="I442" s="6" t="s">
        <v>37</v>
      </c>
      <c r="J442" s="6"/>
      <c r="K442" s="6">
        <v>8</v>
      </c>
    </row>
    <row r="443" spans="1:11" x14ac:dyDescent="0.2">
      <c r="B443">
        <f t="shared" ref="B443:B460" si="19">B442+1</f>
        <v>3</v>
      </c>
      <c r="D443" t="s">
        <v>9</v>
      </c>
      <c r="H443" s="6"/>
      <c r="I443" s="6" t="s">
        <v>38</v>
      </c>
      <c r="J443" s="6"/>
      <c r="K443" s="6">
        <v>9</v>
      </c>
    </row>
    <row r="444" spans="1:11" x14ac:dyDescent="0.2">
      <c r="B444">
        <f t="shared" si="19"/>
        <v>4</v>
      </c>
      <c r="D444" t="s">
        <v>19</v>
      </c>
      <c r="H444" s="6"/>
      <c r="I444" s="6" t="s">
        <v>30</v>
      </c>
      <c r="J444" s="6"/>
      <c r="K444" s="6">
        <v>14</v>
      </c>
    </row>
    <row r="445" spans="1:11" x14ac:dyDescent="0.2">
      <c r="B445">
        <f t="shared" si="19"/>
        <v>5</v>
      </c>
      <c r="D445" t="s">
        <v>42</v>
      </c>
      <c r="H445" s="6"/>
      <c r="I445" s="6" t="s">
        <v>31</v>
      </c>
      <c r="J445" s="6"/>
      <c r="K445" s="6">
        <v>8</v>
      </c>
    </row>
    <row r="446" spans="1:11" x14ac:dyDescent="0.2">
      <c r="B446">
        <f t="shared" si="19"/>
        <v>6</v>
      </c>
      <c r="D446" t="s">
        <v>24</v>
      </c>
      <c r="H446" s="6"/>
      <c r="I446" s="6" t="s">
        <v>32</v>
      </c>
      <c r="J446" s="6"/>
      <c r="K446" s="7">
        <v>7</v>
      </c>
    </row>
    <row r="447" spans="1:11" x14ac:dyDescent="0.2">
      <c r="B447">
        <f t="shared" si="19"/>
        <v>7</v>
      </c>
      <c r="D447" t="s">
        <v>7</v>
      </c>
      <c r="H447" s="6"/>
      <c r="I447" s="6" t="s">
        <v>39</v>
      </c>
      <c r="J447" s="6"/>
      <c r="K447" s="7">
        <v>7</v>
      </c>
    </row>
    <row r="448" spans="1:11" x14ac:dyDescent="0.2">
      <c r="B448">
        <f t="shared" si="19"/>
        <v>8</v>
      </c>
      <c r="D448" t="s">
        <v>6</v>
      </c>
      <c r="H448" s="6"/>
      <c r="I448" s="6" t="s">
        <v>40</v>
      </c>
      <c r="J448" s="6"/>
      <c r="K448" s="7">
        <v>8</v>
      </c>
    </row>
    <row r="449" spans="2:11" x14ac:dyDescent="0.2">
      <c r="B449">
        <f t="shared" si="19"/>
        <v>9</v>
      </c>
      <c r="D449" s="2" t="s">
        <v>18</v>
      </c>
      <c r="H449" s="6"/>
      <c r="I449" s="6" t="s">
        <v>41</v>
      </c>
      <c r="J449" s="6"/>
      <c r="K449" s="7">
        <v>5</v>
      </c>
    </row>
    <row r="450" spans="2:11" x14ac:dyDescent="0.2">
      <c r="B450">
        <f t="shared" si="19"/>
        <v>10</v>
      </c>
      <c r="D450" t="s">
        <v>7</v>
      </c>
    </row>
    <row r="451" spans="2:11" x14ac:dyDescent="0.2">
      <c r="B451">
        <f t="shared" si="19"/>
        <v>11</v>
      </c>
      <c r="D451" t="s">
        <v>25</v>
      </c>
    </row>
    <row r="452" spans="2:11" x14ac:dyDescent="0.2">
      <c r="B452">
        <f t="shared" si="19"/>
        <v>12</v>
      </c>
      <c r="D452" t="s">
        <v>26</v>
      </c>
    </row>
    <row r="453" spans="2:11" x14ac:dyDescent="0.2">
      <c r="B453">
        <f t="shared" si="19"/>
        <v>13</v>
      </c>
      <c r="D453" t="s">
        <v>47</v>
      </c>
    </row>
    <row r="454" spans="2:11" x14ac:dyDescent="0.2">
      <c r="B454">
        <f t="shared" si="19"/>
        <v>14</v>
      </c>
      <c r="D454" t="s">
        <v>18</v>
      </c>
    </row>
    <row r="455" spans="2:11" x14ac:dyDescent="0.2">
      <c r="B455">
        <f t="shared" si="19"/>
        <v>15</v>
      </c>
      <c r="D455" t="s">
        <v>21</v>
      </c>
    </row>
    <row r="456" spans="2:11" x14ac:dyDescent="0.2">
      <c r="B456">
        <f t="shared" si="19"/>
        <v>16</v>
      </c>
      <c r="D456" t="s">
        <v>8</v>
      </c>
    </row>
    <row r="457" spans="2:11" x14ac:dyDescent="0.2">
      <c r="B457">
        <f t="shared" si="19"/>
        <v>17</v>
      </c>
      <c r="D457" t="s">
        <v>24</v>
      </c>
    </row>
    <row r="458" spans="2:11" x14ac:dyDescent="0.2">
      <c r="B458">
        <f t="shared" si="19"/>
        <v>18</v>
      </c>
      <c r="D458" t="s">
        <v>6</v>
      </c>
    </row>
    <row r="459" spans="2:11" x14ac:dyDescent="0.2">
      <c r="B459">
        <f t="shared" si="19"/>
        <v>19</v>
      </c>
      <c r="D459" t="s">
        <v>18</v>
      </c>
    </row>
    <row r="460" spans="2:11" x14ac:dyDescent="0.2">
      <c r="B460">
        <f t="shared" si="19"/>
        <v>20</v>
      </c>
      <c r="D460" t="s">
        <v>18</v>
      </c>
    </row>
    <row r="462" spans="2:11" x14ac:dyDescent="0.2">
      <c r="B462" s="3" t="s">
        <v>27</v>
      </c>
    </row>
    <row r="463" spans="2:11" x14ac:dyDescent="0.2">
      <c r="B463" s="4" t="s">
        <v>28</v>
      </c>
      <c r="D463" t="s">
        <v>29</v>
      </c>
    </row>
    <row r="464" spans="2:11" x14ac:dyDescent="0.2">
      <c r="B464">
        <v>9</v>
      </c>
      <c r="D464" t="s">
        <v>30</v>
      </c>
    </row>
    <row r="465" spans="1:6" x14ac:dyDescent="0.2">
      <c r="B465">
        <v>4</v>
      </c>
      <c r="D465" t="s">
        <v>31</v>
      </c>
    </row>
    <row r="466" spans="1:6" x14ac:dyDescent="0.2">
      <c r="B466">
        <v>20</v>
      </c>
      <c r="D466" t="s">
        <v>32</v>
      </c>
    </row>
    <row r="467" spans="1:6" x14ac:dyDescent="0.2">
      <c r="B467">
        <v>1</v>
      </c>
      <c r="D467" t="s">
        <v>33</v>
      </c>
    </row>
    <row r="468" spans="1:6" x14ac:dyDescent="0.2">
      <c r="B468">
        <v>14</v>
      </c>
      <c r="D468" t="s">
        <v>34</v>
      </c>
    </row>
    <row r="469" spans="1:6" x14ac:dyDescent="0.2">
      <c r="B469">
        <v>6</v>
      </c>
      <c r="D469" t="s">
        <v>35</v>
      </c>
    </row>
    <row r="470" spans="1:6" x14ac:dyDescent="0.2">
      <c r="B470">
        <v>11</v>
      </c>
      <c r="D470" t="s">
        <v>36</v>
      </c>
    </row>
    <row r="471" spans="1:6" x14ac:dyDescent="0.2">
      <c r="B471">
        <v>17</v>
      </c>
      <c r="D471" t="s">
        <v>37</v>
      </c>
    </row>
    <row r="472" spans="1:6" x14ac:dyDescent="0.2">
      <c r="B472">
        <v>11</v>
      </c>
      <c r="D472" t="s">
        <v>38</v>
      </c>
    </row>
    <row r="473" spans="1:6" x14ac:dyDescent="0.2">
      <c r="B473">
        <v>5</v>
      </c>
      <c r="D473" t="s">
        <v>39</v>
      </c>
    </row>
    <row r="474" spans="1:6" x14ac:dyDescent="0.2">
      <c r="B474">
        <v>12</v>
      </c>
      <c r="D474" t="s">
        <v>40</v>
      </c>
    </row>
    <row r="475" spans="1:6" x14ac:dyDescent="0.2">
      <c r="B475">
        <v>13</v>
      </c>
      <c r="D475" t="s">
        <v>41</v>
      </c>
    </row>
    <row r="477" spans="1:6" x14ac:dyDescent="0.2">
      <c r="A477" s="1">
        <v>46172</v>
      </c>
    </row>
    <row r="478" spans="1:6" x14ac:dyDescent="0.2">
      <c r="B478" t="s">
        <v>0</v>
      </c>
      <c r="D478" t="s">
        <v>1</v>
      </c>
    </row>
    <row r="479" spans="1:6" x14ac:dyDescent="0.2">
      <c r="B479" t="s">
        <v>33</v>
      </c>
      <c r="D479" t="s">
        <v>42</v>
      </c>
      <c r="E479" s="8" t="s">
        <v>46</v>
      </c>
      <c r="F479" s="8"/>
    </row>
    <row r="480" spans="1:6" x14ac:dyDescent="0.2">
      <c r="B480" t="s">
        <v>34</v>
      </c>
      <c r="D480" t="s">
        <v>42</v>
      </c>
      <c r="E480" s="8" t="s">
        <v>46</v>
      </c>
      <c r="F480" s="8"/>
    </row>
    <row r="481" spans="1:6" x14ac:dyDescent="0.2">
      <c r="B481" t="s">
        <v>35</v>
      </c>
      <c r="D481" t="s">
        <v>43</v>
      </c>
      <c r="E481" s="8" t="s">
        <v>46</v>
      </c>
      <c r="F481" s="8"/>
    </row>
    <row r="482" spans="1:6" x14ac:dyDescent="0.2">
      <c r="B482" t="s">
        <v>36</v>
      </c>
      <c r="D482" t="s">
        <v>44</v>
      </c>
      <c r="E482" s="8" t="s">
        <v>46</v>
      </c>
      <c r="F482" s="8"/>
    </row>
    <row r="483" spans="1:6" x14ac:dyDescent="0.2">
      <c r="B483" t="s">
        <v>37</v>
      </c>
      <c r="D483" t="s">
        <v>43</v>
      </c>
      <c r="E483" s="8" t="s">
        <v>46</v>
      </c>
      <c r="F483" s="8"/>
    </row>
    <row r="484" spans="1:6" x14ac:dyDescent="0.2">
      <c r="B484" t="s">
        <v>38</v>
      </c>
      <c r="D484" t="s">
        <v>9</v>
      </c>
      <c r="E484" s="8" t="s">
        <v>46</v>
      </c>
      <c r="F484" s="8"/>
    </row>
    <row r="485" spans="1:6" x14ac:dyDescent="0.2">
      <c r="B485" t="s">
        <v>30</v>
      </c>
      <c r="D485" t="s">
        <v>42</v>
      </c>
      <c r="E485" s="8" t="s">
        <v>46</v>
      </c>
      <c r="F485" s="8"/>
    </row>
    <row r="486" spans="1:6" x14ac:dyDescent="0.2">
      <c r="B486" t="s">
        <v>31</v>
      </c>
      <c r="D486" t="s">
        <v>42</v>
      </c>
      <c r="E486" s="8" t="s">
        <v>46</v>
      </c>
      <c r="F486" s="8"/>
    </row>
    <row r="487" spans="1:6" x14ac:dyDescent="0.2">
      <c r="B487" t="s">
        <v>32</v>
      </c>
      <c r="D487" s="2" t="s">
        <v>42</v>
      </c>
      <c r="E487" s="8" t="s">
        <v>46</v>
      </c>
      <c r="F487" s="8"/>
    </row>
    <row r="488" spans="1:6" x14ac:dyDescent="0.2">
      <c r="B488" t="s">
        <v>39</v>
      </c>
      <c r="D488" s="2" t="s">
        <v>42</v>
      </c>
      <c r="E488" s="8" t="s">
        <v>46</v>
      </c>
      <c r="F488" s="8"/>
    </row>
    <row r="489" spans="1:6" x14ac:dyDescent="0.2">
      <c r="B489" t="s">
        <v>40</v>
      </c>
      <c r="D489" s="2" t="s">
        <v>42</v>
      </c>
      <c r="E489" s="8" t="s">
        <v>46</v>
      </c>
      <c r="F489" s="8"/>
    </row>
    <row r="490" spans="1:6" x14ac:dyDescent="0.2">
      <c r="B490" t="s">
        <v>41</v>
      </c>
      <c r="D490" s="2" t="s">
        <v>42</v>
      </c>
      <c r="E490" s="8" t="s">
        <v>46</v>
      </c>
      <c r="F490" s="8"/>
    </row>
    <row r="492" spans="1:6" x14ac:dyDescent="0.2">
      <c r="A492" s="1">
        <v>46173</v>
      </c>
    </row>
    <row r="493" spans="1:6" x14ac:dyDescent="0.2">
      <c r="B493" t="s">
        <v>0</v>
      </c>
      <c r="D493" t="s">
        <v>1</v>
      </c>
    </row>
    <row r="494" spans="1:6" x14ac:dyDescent="0.2">
      <c r="B494" t="s">
        <v>33</v>
      </c>
      <c r="D494" t="s">
        <v>42</v>
      </c>
      <c r="E494" s="8" t="s">
        <v>46</v>
      </c>
      <c r="F494" s="8"/>
    </row>
    <row r="495" spans="1:6" x14ac:dyDescent="0.2">
      <c r="B495" t="s">
        <v>34</v>
      </c>
      <c r="D495" t="s">
        <v>42</v>
      </c>
      <c r="E495" s="8" t="s">
        <v>46</v>
      </c>
      <c r="F495" s="8"/>
    </row>
    <row r="496" spans="1:6" x14ac:dyDescent="0.2">
      <c r="B496" t="s">
        <v>35</v>
      </c>
      <c r="D496" t="s">
        <v>43</v>
      </c>
      <c r="E496" s="8" t="s">
        <v>46</v>
      </c>
      <c r="F496" s="8"/>
    </row>
    <row r="497" spans="2:6" x14ac:dyDescent="0.2">
      <c r="B497" t="s">
        <v>36</v>
      </c>
      <c r="D497" t="s">
        <v>44</v>
      </c>
      <c r="E497" s="8" t="s">
        <v>46</v>
      </c>
      <c r="F497" s="8"/>
    </row>
    <row r="498" spans="2:6" x14ac:dyDescent="0.2">
      <c r="B498" t="s">
        <v>37</v>
      </c>
      <c r="D498" t="s">
        <v>43</v>
      </c>
      <c r="E498" s="8" t="s">
        <v>46</v>
      </c>
      <c r="F498" s="8"/>
    </row>
    <row r="499" spans="2:6" x14ac:dyDescent="0.2">
      <c r="B499" t="s">
        <v>38</v>
      </c>
      <c r="D499" t="s">
        <v>9</v>
      </c>
      <c r="E499" s="8" t="s">
        <v>46</v>
      </c>
      <c r="F499" s="8"/>
    </row>
    <row r="500" spans="2:6" x14ac:dyDescent="0.2">
      <c r="B500" t="s">
        <v>30</v>
      </c>
      <c r="D500" t="s">
        <v>42</v>
      </c>
      <c r="E500" s="8" t="s">
        <v>46</v>
      </c>
      <c r="F500" s="8"/>
    </row>
    <row r="501" spans="2:6" x14ac:dyDescent="0.2">
      <c r="B501" t="s">
        <v>31</v>
      </c>
      <c r="D501" t="s">
        <v>42</v>
      </c>
      <c r="E501" s="8" t="s">
        <v>46</v>
      </c>
      <c r="F501" s="8"/>
    </row>
    <row r="502" spans="2:6" x14ac:dyDescent="0.2">
      <c r="B502" t="s">
        <v>32</v>
      </c>
      <c r="D502" s="2" t="s">
        <v>42</v>
      </c>
      <c r="E502" s="8" t="s">
        <v>46</v>
      </c>
      <c r="F502" s="8"/>
    </row>
    <row r="503" spans="2:6" x14ac:dyDescent="0.2">
      <c r="B503" t="s">
        <v>39</v>
      </c>
      <c r="D503" s="2" t="s">
        <v>42</v>
      </c>
      <c r="E503" s="8" t="s">
        <v>46</v>
      </c>
      <c r="F503" s="8"/>
    </row>
    <row r="504" spans="2:6" x14ac:dyDescent="0.2">
      <c r="B504" t="s">
        <v>40</v>
      </c>
      <c r="D504" s="2" t="s">
        <v>42</v>
      </c>
      <c r="E504" s="8" t="s">
        <v>46</v>
      </c>
      <c r="F504" s="8"/>
    </row>
    <row r="505" spans="2:6" x14ac:dyDescent="0.2">
      <c r="B505" t="s">
        <v>41</v>
      </c>
      <c r="D505" s="2" t="s">
        <v>42</v>
      </c>
      <c r="E505" s="8" t="s">
        <v>46</v>
      </c>
      <c r="F505" s="8"/>
    </row>
  </sheetData>
  <mergeCells count="111">
    <mergeCell ref="Y2:AC2"/>
    <mergeCell ref="Y3:AC3"/>
    <mergeCell ref="Y4:AC4"/>
    <mergeCell ref="L99:M99"/>
    <mergeCell ref="L100:M100"/>
    <mergeCell ref="L101:M101"/>
    <mergeCell ref="L102:M102"/>
    <mergeCell ref="L103:M103"/>
    <mergeCell ref="L104:M104"/>
    <mergeCell ref="L93:M93"/>
    <mergeCell ref="L94:M94"/>
    <mergeCell ref="L95:M95"/>
    <mergeCell ref="L96:M96"/>
    <mergeCell ref="L97:M97"/>
    <mergeCell ref="L98:M98"/>
    <mergeCell ref="L84:M84"/>
    <mergeCell ref="L85:M85"/>
    <mergeCell ref="L86:M86"/>
    <mergeCell ref="L87:M87"/>
    <mergeCell ref="L88:M88"/>
    <mergeCell ref="L89:M89"/>
    <mergeCell ref="L78:M78"/>
    <mergeCell ref="L79:M79"/>
    <mergeCell ref="L80:M80"/>
    <mergeCell ref="L81:M81"/>
    <mergeCell ref="L82:M82"/>
    <mergeCell ref="L83:M83"/>
    <mergeCell ref="L69:M69"/>
    <mergeCell ref="L70:M70"/>
    <mergeCell ref="L71:M71"/>
    <mergeCell ref="L72:M72"/>
    <mergeCell ref="L73:M73"/>
    <mergeCell ref="L74:M74"/>
    <mergeCell ref="L63:M63"/>
    <mergeCell ref="L64:M64"/>
    <mergeCell ref="L65:M65"/>
    <mergeCell ref="L66:M66"/>
    <mergeCell ref="L67:M67"/>
    <mergeCell ref="L68:M68"/>
    <mergeCell ref="L54:M54"/>
    <mergeCell ref="L55:M55"/>
    <mergeCell ref="L56:M56"/>
    <mergeCell ref="L57:M57"/>
    <mergeCell ref="L58:M58"/>
    <mergeCell ref="L59:M59"/>
    <mergeCell ref="L48:M48"/>
    <mergeCell ref="L49:M49"/>
    <mergeCell ref="L50:M50"/>
    <mergeCell ref="L51:M51"/>
    <mergeCell ref="L52:M52"/>
    <mergeCell ref="L53:M53"/>
    <mergeCell ref="L39:M39"/>
    <mergeCell ref="L40:M40"/>
    <mergeCell ref="L41:M41"/>
    <mergeCell ref="L42:M42"/>
    <mergeCell ref="L43:M43"/>
    <mergeCell ref="L44:M44"/>
    <mergeCell ref="L33:M33"/>
    <mergeCell ref="L34:M34"/>
    <mergeCell ref="L35:M35"/>
    <mergeCell ref="L36:M36"/>
    <mergeCell ref="L37:M37"/>
    <mergeCell ref="L38:M38"/>
    <mergeCell ref="L24:M24"/>
    <mergeCell ref="L25:M25"/>
    <mergeCell ref="L26:M26"/>
    <mergeCell ref="L27:M27"/>
    <mergeCell ref="L28:M28"/>
    <mergeCell ref="L29:M29"/>
    <mergeCell ref="L18:M18"/>
    <mergeCell ref="L19:M19"/>
    <mergeCell ref="L20:M20"/>
    <mergeCell ref="L21:M21"/>
    <mergeCell ref="L22:M22"/>
    <mergeCell ref="L23:M23"/>
    <mergeCell ref="L9:M9"/>
    <mergeCell ref="L10:M10"/>
    <mergeCell ref="L11:M11"/>
    <mergeCell ref="L12:M12"/>
    <mergeCell ref="L13:M13"/>
    <mergeCell ref="L14:M14"/>
    <mergeCell ref="L3:M3"/>
    <mergeCell ref="L4:M4"/>
    <mergeCell ref="L5:M5"/>
    <mergeCell ref="L6:M6"/>
    <mergeCell ref="L7:M7"/>
    <mergeCell ref="L8:M8"/>
    <mergeCell ref="E500:F500"/>
    <mergeCell ref="E501:F501"/>
    <mergeCell ref="E502:F502"/>
    <mergeCell ref="E503:F503"/>
    <mergeCell ref="E504:F504"/>
    <mergeCell ref="E505:F505"/>
    <mergeCell ref="E494:F494"/>
    <mergeCell ref="E495:F495"/>
    <mergeCell ref="E496:F496"/>
    <mergeCell ref="E497:F497"/>
    <mergeCell ref="E498:F498"/>
    <mergeCell ref="E499:F499"/>
    <mergeCell ref="E485:F485"/>
    <mergeCell ref="E486:F486"/>
    <mergeCell ref="E487:F487"/>
    <mergeCell ref="E488:F488"/>
    <mergeCell ref="E489:F489"/>
    <mergeCell ref="E490:F490"/>
    <mergeCell ref="E479:F479"/>
    <mergeCell ref="E480:F480"/>
    <mergeCell ref="E481:F481"/>
    <mergeCell ref="E482:F482"/>
    <mergeCell ref="E483:F483"/>
    <mergeCell ref="E484:F484"/>
  </mergeCells>
  <hyperlinks>
    <hyperlink ref="D288" r:id="rId1" display="1@3L" xr:uid="{7916A5D4-B051-AA4A-BE3C-A7975635B29A}"/>
    <hyperlink ref="D311" r:id="rId2" display="1@3L" xr:uid="{C48BC405-F19D-C145-B417-168E93494E2C}"/>
    <hyperlink ref="D334" r:id="rId3" display="1@3L" xr:uid="{67F67B55-9522-184A-9F94-FAE8692DED98}"/>
    <hyperlink ref="D357" r:id="rId4" display="1@3L" xr:uid="{99AEE2EB-E720-1047-BEEC-A020B4C3D70D}"/>
    <hyperlink ref="D380" r:id="rId5" display="1@3L" xr:uid="{973FB7F6-2EEF-F84B-9F96-D2746F481555}"/>
    <hyperlink ref="D403" r:id="rId6" display="1@3L" xr:uid="{C800BC69-A540-0446-A61A-5336AA897BF2}"/>
    <hyperlink ref="D426" r:id="rId7" display="1@3L" xr:uid="{BC31C584-5310-054D-83A0-170939F7C1F3}"/>
    <hyperlink ref="D449" r:id="rId8" display="1@3L" xr:uid="{EE28FBD9-2F20-FB4C-A992-9381758C9387}"/>
  </hyperlink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17885-17B8-9B4C-9426-DF18B5909E1E}">
  <dimension ref="A1:U79"/>
  <sheetViews>
    <sheetView zoomScale="61" workbookViewId="0">
      <selection activeCell="G9" sqref="G9:U9"/>
    </sheetView>
  </sheetViews>
  <sheetFormatPr baseColWidth="10" defaultRowHeight="16" x14ac:dyDescent="0.2"/>
  <sheetData>
    <row r="1" spans="1:21" x14ac:dyDescent="0.2">
      <c r="A1" s="1"/>
      <c r="B1" s="6"/>
      <c r="F1" s="3" t="s">
        <v>58</v>
      </c>
      <c r="J1" s="3" t="s">
        <v>59</v>
      </c>
      <c r="N1" s="3" t="s">
        <v>60</v>
      </c>
      <c r="R1" s="3" t="s">
        <v>61</v>
      </c>
    </row>
    <row r="2" spans="1:21" x14ac:dyDescent="0.2">
      <c r="B2" s="6"/>
      <c r="F2" s="3"/>
      <c r="G2" t="s">
        <v>33</v>
      </c>
      <c r="H2" t="s">
        <v>34</v>
      </c>
      <c r="I2" t="s">
        <v>35</v>
      </c>
      <c r="K2" t="s">
        <v>36</v>
      </c>
      <c r="L2" t="s">
        <v>37</v>
      </c>
      <c r="M2" t="s">
        <v>38</v>
      </c>
      <c r="O2" t="s">
        <v>30</v>
      </c>
      <c r="P2" t="s">
        <v>31</v>
      </c>
      <c r="Q2" t="s">
        <v>32</v>
      </c>
      <c r="S2" t="s">
        <v>39</v>
      </c>
      <c r="T2" t="s">
        <v>40</v>
      </c>
      <c r="U2" t="s">
        <v>41</v>
      </c>
    </row>
    <row r="3" spans="1:21" x14ac:dyDescent="0.2">
      <c r="B3" s="6"/>
      <c r="F3" s="1">
        <v>46177</v>
      </c>
      <c r="G3">
        <v>36.299999999999997</v>
      </c>
      <c r="H3">
        <v>32.5</v>
      </c>
      <c r="I3">
        <v>34.200000000000003</v>
      </c>
      <c r="K3">
        <v>30.1</v>
      </c>
      <c r="L3">
        <v>34.799999999999997</v>
      </c>
      <c r="M3">
        <v>32</v>
      </c>
      <c r="O3">
        <v>31.6</v>
      </c>
      <c r="P3">
        <v>34.700000000000003</v>
      </c>
      <c r="Q3">
        <v>32.700000000000003</v>
      </c>
      <c r="S3">
        <v>25.7</v>
      </c>
      <c r="T3">
        <v>26.3</v>
      </c>
      <c r="U3">
        <v>26</v>
      </c>
    </row>
    <row r="4" spans="1:21" x14ac:dyDescent="0.2">
      <c r="B4" s="6"/>
      <c r="F4" s="1">
        <v>46192</v>
      </c>
      <c r="G4">
        <v>44.4</v>
      </c>
      <c r="H4">
        <v>42.1</v>
      </c>
      <c r="I4">
        <v>42.4</v>
      </c>
      <c r="K4">
        <v>27.1</v>
      </c>
      <c r="L4">
        <v>38.4</v>
      </c>
      <c r="M4">
        <v>38.5</v>
      </c>
      <c r="O4">
        <v>41.9</v>
      </c>
      <c r="P4">
        <v>42</v>
      </c>
      <c r="Q4">
        <v>38.4</v>
      </c>
      <c r="S4">
        <v>29.3</v>
      </c>
      <c r="T4">
        <v>34.200000000000003</v>
      </c>
      <c r="U4">
        <v>24.9</v>
      </c>
    </row>
    <row r="5" spans="1:21" x14ac:dyDescent="0.2">
      <c r="B5" s="6"/>
      <c r="F5" s="1">
        <v>46199</v>
      </c>
      <c r="G5">
        <v>43.2</v>
      </c>
      <c r="H5">
        <v>39.200000000000003</v>
      </c>
      <c r="I5">
        <v>41.5</v>
      </c>
      <c r="K5">
        <v>38.200000000000003</v>
      </c>
      <c r="L5">
        <v>38.9</v>
      </c>
      <c r="M5">
        <v>42.5</v>
      </c>
      <c r="O5">
        <v>40.700000000000003</v>
      </c>
      <c r="P5">
        <v>37.700000000000003</v>
      </c>
      <c r="Q5">
        <v>38.700000000000003</v>
      </c>
      <c r="S5">
        <v>28.8</v>
      </c>
      <c r="T5">
        <v>33.4</v>
      </c>
      <c r="U5">
        <v>24.8</v>
      </c>
    </row>
    <row r="6" spans="1:21" x14ac:dyDescent="0.2">
      <c r="B6" s="6"/>
      <c r="C6" s="3" t="s">
        <v>62</v>
      </c>
      <c r="F6" s="1">
        <v>46206</v>
      </c>
      <c r="G6">
        <v>44.2</v>
      </c>
      <c r="H6">
        <v>45.3</v>
      </c>
      <c r="I6">
        <v>46.6</v>
      </c>
      <c r="K6">
        <v>48.6</v>
      </c>
      <c r="L6">
        <v>42</v>
      </c>
      <c r="M6">
        <v>40.5</v>
      </c>
      <c r="O6">
        <v>40.6</v>
      </c>
      <c r="P6">
        <v>47.8</v>
      </c>
      <c r="Q6">
        <v>44.5</v>
      </c>
      <c r="S6">
        <v>26.5</v>
      </c>
      <c r="T6">
        <v>35.799999999999997</v>
      </c>
      <c r="U6">
        <v>32.1</v>
      </c>
    </row>
    <row r="7" spans="1:21" x14ac:dyDescent="0.2">
      <c r="B7" s="6"/>
      <c r="F7" s="1">
        <v>46216</v>
      </c>
      <c r="G7">
        <v>47.3</v>
      </c>
      <c r="H7">
        <v>49.8</v>
      </c>
      <c r="I7">
        <v>44</v>
      </c>
      <c r="K7">
        <v>45.9</v>
      </c>
      <c r="L7">
        <v>45.3</v>
      </c>
      <c r="M7">
        <v>44.1</v>
      </c>
      <c r="O7">
        <v>40.799999999999997</v>
      </c>
      <c r="P7">
        <v>33.9</v>
      </c>
      <c r="Q7">
        <v>46.8</v>
      </c>
      <c r="S7">
        <v>32.700000000000003</v>
      </c>
      <c r="T7">
        <v>23.9</v>
      </c>
      <c r="U7">
        <v>25.8</v>
      </c>
    </row>
    <row r="8" spans="1:21" x14ac:dyDescent="0.2">
      <c r="B8" s="6"/>
      <c r="C8">
        <f>AVERAGE(G3:G7)</f>
        <v>43.08</v>
      </c>
      <c r="D8" t="s">
        <v>33</v>
      </c>
      <c r="F8" s="1">
        <v>46190</v>
      </c>
      <c r="G8">
        <v>51.8</v>
      </c>
      <c r="H8">
        <v>50.9</v>
      </c>
      <c r="I8">
        <v>48.1</v>
      </c>
      <c r="K8">
        <v>45.7</v>
      </c>
      <c r="L8">
        <v>48</v>
      </c>
      <c r="M8">
        <v>46.3</v>
      </c>
      <c r="O8">
        <v>45.9</v>
      </c>
      <c r="P8">
        <v>41.1</v>
      </c>
      <c r="Q8">
        <v>48.1</v>
      </c>
      <c r="S8">
        <v>36</v>
      </c>
      <c r="T8">
        <v>24.5</v>
      </c>
      <c r="U8">
        <v>24.9</v>
      </c>
    </row>
    <row r="9" spans="1:21" x14ac:dyDescent="0.2">
      <c r="B9" s="6"/>
      <c r="C9">
        <f>AVERAGE(H3:H7)</f>
        <v>41.779999999999994</v>
      </c>
      <c r="D9" t="s">
        <v>34</v>
      </c>
      <c r="F9" s="1">
        <v>46197</v>
      </c>
      <c r="G9">
        <v>47.4</v>
      </c>
      <c r="H9">
        <v>48.2</v>
      </c>
      <c r="I9">
        <v>44.7</v>
      </c>
      <c r="K9">
        <v>42.3</v>
      </c>
      <c r="L9">
        <v>46.2</v>
      </c>
      <c r="M9">
        <v>41.8</v>
      </c>
      <c r="O9">
        <v>42.9</v>
      </c>
      <c r="P9">
        <v>39.4</v>
      </c>
      <c r="Q9">
        <v>43.6</v>
      </c>
      <c r="S9">
        <v>37.5</v>
      </c>
      <c r="T9">
        <v>36.1</v>
      </c>
      <c r="U9">
        <v>38.9</v>
      </c>
    </row>
    <row r="10" spans="1:21" x14ac:dyDescent="0.2">
      <c r="B10" s="6"/>
      <c r="C10">
        <f>AVERAGE(I3:I7)</f>
        <v>41.739999999999995</v>
      </c>
      <c r="D10" t="s">
        <v>35</v>
      </c>
      <c r="F10" s="11">
        <v>48000</v>
      </c>
      <c r="G10">
        <v>46.2</v>
      </c>
      <c r="H10">
        <v>49.8</v>
      </c>
      <c r="I10">
        <v>44.1</v>
      </c>
      <c r="K10">
        <v>47</v>
      </c>
      <c r="L10">
        <v>44.5</v>
      </c>
      <c r="M10">
        <v>45.2</v>
      </c>
      <c r="O10">
        <v>38.4</v>
      </c>
      <c r="P10">
        <v>30.1</v>
      </c>
      <c r="Q10">
        <v>41.9</v>
      </c>
      <c r="S10">
        <v>39.6</v>
      </c>
      <c r="T10">
        <v>40.6</v>
      </c>
      <c r="U10">
        <v>41.3</v>
      </c>
    </row>
    <row r="11" spans="1:21" x14ac:dyDescent="0.2">
      <c r="B11" s="6"/>
      <c r="C11">
        <f>AVERAGE(K3:K7)</f>
        <v>37.980000000000004</v>
      </c>
      <c r="D11" t="s">
        <v>36</v>
      </c>
    </row>
    <row r="12" spans="1:21" x14ac:dyDescent="0.2">
      <c r="B12" s="6"/>
      <c r="C12">
        <f>AVERAGE(L3:L7)</f>
        <v>39.879999999999995</v>
      </c>
      <c r="D12" t="s">
        <v>37</v>
      </c>
    </row>
    <row r="13" spans="1:21" x14ac:dyDescent="0.2">
      <c r="A13" s="1"/>
      <c r="B13" s="6"/>
      <c r="C13">
        <f>AVERAGE(M3:M7)</f>
        <v>39.519999999999996</v>
      </c>
      <c r="D13" t="s">
        <v>38</v>
      </c>
    </row>
    <row r="14" spans="1:21" x14ac:dyDescent="0.2">
      <c r="B14" s="6"/>
      <c r="C14">
        <f>AVERAGE(O3:O7)</f>
        <v>39.120000000000005</v>
      </c>
      <c r="D14" t="s">
        <v>30</v>
      </c>
    </row>
    <row r="15" spans="1:21" x14ac:dyDescent="0.2">
      <c r="B15" s="6"/>
      <c r="C15">
        <f>AVERAGE(P3:P7)</f>
        <v>39.22</v>
      </c>
      <c r="D15" t="s">
        <v>31</v>
      </c>
    </row>
    <row r="16" spans="1:21" x14ac:dyDescent="0.2">
      <c r="B16" s="6"/>
      <c r="C16">
        <f>AVERAGE(Q3:Q7)</f>
        <v>40.220000000000006</v>
      </c>
      <c r="D16" t="s">
        <v>32</v>
      </c>
    </row>
    <row r="17" spans="1:4" x14ac:dyDescent="0.2">
      <c r="B17" s="6"/>
      <c r="C17">
        <f>AVERAGE(S3:S7)</f>
        <v>28.6</v>
      </c>
      <c r="D17" t="s">
        <v>39</v>
      </c>
    </row>
    <row r="18" spans="1:4" x14ac:dyDescent="0.2">
      <c r="B18" s="6"/>
      <c r="C18">
        <f>AVERAGE(T3:T7)</f>
        <v>30.72</v>
      </c>
      <c r="D18" t="s">
        <v>40</v>
      </c>
    </row>
    <row r="19" spans="1:4" x14ac:dyDescent="0.2">
      <c r="B19" s="6"/>
      <c r="C19">
        <f>AVERAGE(U3:U7)</f>
        <v>26.720000000000006</v>
      </c>
      <c r="D19" t="s">
        <v>41</v>
      </c>
    </row>
    <row r="20" spans="1:4" x14ac:dyDescent="0.2">
      <c r="B20" s="6"/>
    </row>
    <row r="21" spans="1:4" x14ac:dyDescent="0.2">
      <c r="B21" s="6"/>
    </row>
    <row r="22" spans="1:4" x14ac:dyDescent="0.2">
      <c r="B22" s="6"/>
    </row>
    <row r="23" spans="1:4" x14ac:dyDescent="0.2">
      <c r="B23" s="6"/>
    </row>
    <row r="24" spans="1:4" x14ac:dyDescent="0.2">
      <c r="B24" s="6"/>
    </row>
    <row r="25" spans="1:4" x14ac:dyDescent="0.2">
      <c r="A25" s="1"/>
      <c r="B25" s="6"/>
    </row>
    <row r="26" spans="1:4" x14ac:dyDescent="0.2">
      <c r="B26" s="6"/>
    </row>
    <row r="27" spans="1:4" x14ac:dyDescent="0.2">
      <c r="B27" s="6"/>
    </row>
    <row r="28" spans="1:4" x14ac:dyDescent="0.2">
      <c r="B28" s="6"/>
    </row>
    <row r="29" spans="1:4" x14ac:dyDescent="0.2">
      <c r="B29" s="6"/>
    </row>
    <row r="30" spans="1:4" x14ac:dyDescent="0.2">
      <c r="B30" s="6"/>
    </row>
    <row r="31" spans="1:4" x14ac:dyDescent="0.2">
      <c r="B31" s="6"/>
    </row>
    <row r="32" spans="1:4" x14ac:dyDescent="0.2">
      <c r="B32" s="6"/>
    </row>
    <row r="33" spans="1:2" x14ac:dyDescent="0.2">
      <c r="B33" s="6"/>
    </row>
    <row r="34" spans="1:2" x14ac:dyDescent="0.2">
      <c r="B34" s="6"/>
    </row>
    <row r="35" spans="1:2" x14ac:dyDescent="0.2">
      <c r="B35" s="6"/>
    </row>
    <row r="36" spans="1:2" x14ac:dyDescent="0.2">
      <c r="B36" s="6"/>
    </row>
    <row r="44" spans="1:2" x14ac:dyDescent="0.2">
      <c r="A44" s="1"/>
      <c r="B44" s="6"/>
    </row>
    <row r="45" spans="1:2" x14ac:dyDescent="0.2">
      <c r="B45" s="6"/>
    </row>
    <row r="46" spans="1:2" x14ac:dyDescent="0.2">
      <c r="B46" s="6"/>
    </row>
    <row r="47" spans="1:2" x14ac:dyDescent="0.2">
      <c r="B47" s="6"/>
    </row>
    <row r="48" spans="1:2" x14ac:dyDescent="0.2">
      <c r="B48" s="6"/>
    </row>
    <row r="49" spans="1:2" x14ac:dyDescent="0.2">
      <c r="B49" s="6"/>
    </row>
    <row r="50" spans="1:2" x14ac:dyDescent="0.2">
      <c r="B50" s="6"/>
    </row>
    <row r="51" spans="1:2" x14ac:dyDescent="0.2">
      <c r="B51" s="6"/>
    </row>
    <row r="52" spans="1:2" x14ac:dyDescent="0.2">
      <c r="B52" s="6"/>
    </row>
    <row r="53" spans="1:2" x14ac:dyDescent="0.2">
      <c r="B53" s="6"/>
    </row>
    <row r="54" spans="1:2" x14ac:dyDescent="0.2">
      <c r="B54" s="6"/>
    </row>
    <row r="55" spans="1:2" x14ac:dyDescent="0.2">
      <c r="B55" s="6"/>
    </row>
    <row r="56" spans="1:2" x14ac:dyDescent="0.2">
      <c r="A56" s="1"/>
      <c r="B56" s="6"/>
    </row>
    <row r="57" spans="1:2" x14ac:dyDescent="0.2">
      <c r="B57" s="6"/>
    </row>
    <row r="58" spans="1:2" x14ac:dyDescent="0.2">
      <c r="B58" s="6"/>
    </row>
    <row r="59" spans="1:2" x14ac:dyDescent="0.2">
      <c r="B59" s="6"/>
    </row>
    <row r="60" spans="1:2" x14ac:dyDescent="0.2">
      <c r="B60" s="6"/>
    </row>
    <row r="61" spans="1:2" x14ac:dyDescent="0.2">
      <c r="B61" s="6"/>
    </row>
    <row r="62" spans="1:2" x14ac:dyDescent="0.2">
      <c r="B62" s="6"/>
    </row>
    <row r="63" spans="1:2" x14ac:dyDescent="0.2">
      <c r="B63" s="6"/>
    </row>
    <row r="64" spans="1:2" x14ac:dyDescent="0.2">
      <c r="B64" s="6"/>
    </row>
    <row r="65" spans="1:7" x14ac:dyDescent="0.2">
      <c r="B65" s="6"/>
    </row>
    <row r="66" spans="1:7" x14ac:dyDescent="0.2">
      <c r="B66" s="6"/>
    </row>
    <row r="67" spans="1:7" x14ac:dyDescent="0.2">
      <c r="B67" s="6"/>
    </row>
    <row r="68" spans="1:7" x14ac:dyDescent="0.2">
      <c r="A68" s="1"/>
      <c r="B68" s="6"/>
      <c r="D68" s="10"/>
      <c r="E68" s="10"/>
      <c r="F68" s="10"/>
      <c r="G68" s="10"/>
    </row>
    <row r="69" spans="1:7" x14ac:dyDescent="0.2">
      <c r="B69" s="6"/>
    </row>
    <row r="70" spans="1:7" x14ac:dyDescent="0.2">
      <c r="B70" s="6"/>
    </row>
    <row r="71" spans="1:7" x14ac:dyDescent="0.2">
      <c r="B71" s="6"/>
    </row>
    <row r="72" spans="1:7" x14ac:dyDescent="0.2">
      <c r="B72" s="6"/>
    </row>
    <row r="73" spans="1:7" x14ac:dyDescent="0.2">
      <c r="B73" s="6"/>
    </row>
    <row r="74" spans="1:7" x14ac:dyDescent="0.2">
      <c r="B74" s="6"/>
    </row>
    <row r="75" spans="1:7" x14ac:dyDescent="0.2">
      <c r="B75" s="6"/>
    </row>
    <row r="76" spans="1:7" x14ac:dyDescent="0.2">
      <c r="B76" s="6"/>
    </row>
    <row r="77" spans="1:7" x14ac:dyDescent="0.2">
      <c r="B77" s="6"/>
    </row>
    <row r="78" spans="1:7" x14ac:dyDescent="0.2">
      <c r="B78" s="6"/>
    </row>
    <row r="79" spans="1:7" x14ac:dyDescent="0.2">
      <c r="B79" s="6"/>
    </row>
  </sheetData>
  <mergeCells count="1">
    <mergeCell ref="D68:G68"/>
  </mergeCells>
  <phoneticPr fontId="8" type="noConversion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8A956-F1F0-C246-990F-826A64E72AAC}">
  <dimension ref="A1:K52"/>
  <sheetViews>
    <sheetView zoomScale="66" workbookViewId="0">
      <selection activeCell="E43" sqref="E43"/>
    </sheetView>
  </sheetViews>
  <sheetFormatPr baseColWidth="10" defaultRowHeight="16" x14ac:dyDescent="0.2"/>
  <cols>
    <col min="9" max="9" width="29.5" customWidth="1"/>
  </cols>
  <sheetData>
    <row r="1" spans="1:11" x14ac:dyDescent="0.2">
      <c r="A1" t="s">
        <v>51</v>
      </c>
      <c r="B1" t="s">
        <v>0</v>
      </c>
      <c r="C1" t="s">
        <v>52</v>
      </c>
    </row>
    <row r="2" spans="1:11" x14ac:dyDescent="0.2">
      <c r="A2" s="1">
        <v>46192</v>
      </c>
      <c r="B2" t="s">
        <v>33</v>
      </c>
      <c r="C2">
        <v>0.04</v>
      </c>
      <c r="D2" s="8" t="s">
        <v>53</v>
      </c>
      <c r="E2" s="8"/>
      <c r="F2" s="8"/>
      <c r="G2" s="8"/>
      <c r="I2" t="s">
        <v>64</v>
      </c>
    </row>
    <row r="3" spans="1:11" x14ac:dyDescent="0.2">
      <c r="B3" t="s">
        <v>34</v>
      </c>
      <c r="C3">
        <v>0.06</v>
      </c>
      <c r="J3" s="3" t="s">
        <v>62</v>
      </c>
    </row>
    <row r="4" spans="1:11" x14ac:dyDescent="0.2">
      <c r="B4" t="s">
        <v>35</v>
      </c>
      <c r="C4">
        <v>7.0000000000000007E-2</v>
      </c>
      <c r="J4" t="s">
        <v>33</v>
      </c>
      <c r="K4">
        <f>AVERAGE(C2+C15)</f>
        <v>0.49</v>
      </c>
    </row>
    <row r="5" spans="1:11" x14ac:dyDescent="0.2">
      <c r="B5" t="s">
        <v>36</v>
      </c>
      <c r="C5">
        <v>0.05</v>
      </c>
      <c r="J5" t="s">
        <v>34</v>
      </c>
      <c r="K5">
        <f>AVERAGE(C3+C16)</f>
        <v>0.52</v>
      </c>
    </row>
    <row r="6" spans="1:11" x14ac:dyDescent="0.2">
      <c r="B6" t="s">
        <v>37</v>
      </c>
      <c r="C6">
        <v>0.06</v>
      </c>
      <c r="J6" t="s">
        <v>35</v>
      </c>
      <c r="K6">
        <f>AVERAGE(C4+C17)</f>
        <v>0.74</v>
      </c>
    </row>
    <row r="7" spans="1:11" x14ac:dyDescent="0.2">
      <c r="B7" t="s">
        <v>38</v>
      </c>
      <c r="C7">
        <v>7.0000000000000007E-2</v>
      </c>
      <c r="J7" t="s">
        <v>36</v>
      </c>
      <c r="K7">
        <f>AVERAGE(C5+C18)</f>
        <v>0.51</v>
      </c>
    </row>
    <row r="8" spans="1:11" x14ac:dyDescent="0.2">
      <c r="B8" t="s">
        <v>30</v>
      </c>
      <c r="C8">
        <v>0.06</v>
      </c>
      <c r="J8" t="s">
        <v>37</v>
      </c>
      <c r="K8">
        <f>AVERAGE(C19+C6)</f>
        <v>0.71</v>
      </c>
    </row>
    <row r="9" spans="1:11" x14ac:dyDescent="0.2">
      <c r="B9" t="s">
        <v>31</v>
      </c>
      <c r="C9">
        <v>0.06</v>
      </c>
      <c r="J9" t="s">
        <v>38</v>
      </c>
      <c r="K9">
        <f>AVERAGE(C7+C20)</f>
        <v>0.59000000000000008</v>
      </c>
    </row>
    <row r="10" spans="1:11" x14ac:dyDescent="0.2">
      <c r="B10" t="s">
        <v>32</v>
      </c>
      <c r="C10">
        <v>7.0000000000000007E-2</v>
      </c>
      <c r="J10" t="s">
        <v>30</v>
      </c>
      <c r="K10">
        <f>AVERAGE(C21+C8)</f>
        <v>0.96</v>
      </c>
    </row>
    <row r="11" spans="1:11" x14ac:dyDescent="0.2">
      <c r="B11" t="s">
        <v>39</v>
      </c>
      <c r="C11">
        <v>0.03</v>
      </c>
      <c r="J11" t="s">
        <v>31</v>
      </c>
      <c r="K11">
        <f>AVERAGE(C9+C22)</f>
        <v>0.87999999999999989</v>
      </c>
    </row>
    <row r="12" spans="1:11" x14ac:dyDescent="0.2">
      <c r="B12" t="s">
        <v>40</v>
      </c>
      <c r="C12">
        <v>0.04</v>
      </c>
      <c r="J12" t="s">
        <v>32</v>
      </c>
      <c r="K12">
        <f>AVERAGE(C23+C10)</f>
        <v>0.85000000000000009</v>
      </c>
    </row>
    <row r="13" spans="1:11" x14ac:dyDescent="0.2">
      <c r="B13" t="s">
        <v>41</v>
      </c>
      <c r="C13">
        <v>0.03</v>
      </c>
    </row>
    <row r="15" spans="1:11" x14ac:dyDescent="0.2">
      <c r="A15" s="1">
        <v>46206</v>
      </c>
      <c r="B15" t="s">
        <v>33</v>
      </c>
      <c r="C15">
        <v>0.45</v>
      </c>
      <c r="D15" s="8" t="s">
        <v>54</v>
      </c>
      <c r="E15" s="8"/>
      <c r="F15" s="8"/>
      <c r="G15" s="8"/>
      <c r="H15" s="8"/>
      <c r="I15" s="8"/>
    </row>
    <row r="16" spans="1:11" x14ac:dyDescent="0.2">
      <c r="B16" t="s">
        <v>34</v>
      </c>
      <c r="C16">
        <v>0.46</v>
      </c>
    </row>
    <row r="17" spans="1:3" x14ac:dyDescent="0.2">
      <c r="B17" t="s">
        <v>35</v>
      </c>
      <c r="C17">
        <v>0.67</v>
      </c>
    </row>
    <row r="18" spans="1:3" x14ac:dyDescent="0.2">
      <c r="B18" t="s">
        <v>36</v>
      </c>
      <c r="C18">
        <v>0.46</v>
      </c>
    </row>
    <row r="19" spans="1:3" x14ac:dyDescent="0.2">
      <c r="B19" t="s">
        <v>37</v>
      </c>
      <c r="C19">
        <v>0.65</v>
      </c>
    </row>
    <row r="20" spans="1:3" x14ac:dyDescent="0.2">
      <c r="B20" t="s">
        <v>38</v>
      </c>
      <c r="C20">
        <v>0.52</v>
      </c>
    </row>
    <row r="21" spans="1:3" x14ac:dyDescent="0.2">
      <c r="B21" t="s">
        <v>30</v>
      </c>
      <c r="C21">
        <v>0.9</v>
      </c>
    </row>
    <row r="22" spans="1:3" x14ac:dyDescent="0.2">
      <c r="B22" t="s">
        <v>31</v>
      </c>
      <c r="C22">
        <v>0.82</v>
      </c>
    </row>
    <row r="23" spans="1:3" x14ac:dyDescent="0.2">
      <c r="B23" t="s">
        <v>32</v>
      </c>
      <c r="C23">
        <v>0.78</v>
      </c>
    </row>
    <row r="24" spans="1:3" x14ac:dyDescent="0.2">
      <c r="B24" t="s">
        <v>39</v>
      </c>
      <c r="C24">
        <v>0.14000000000000001</v>
      </c>
    </row>
    <row r="25" spans="1:3" x14ac:dyDescent="0.2">
      <c r="B25" t="s">
        <v>40</v>
      </c>
      <c r="C25">
        <v>0.28000000000000003</v>
      </c>
    </row>
    <row r="26" spans="1:3" x14ac:dyDescent="0.2">
      <c r="B26" t="s">
        <v>41</v>
      </c>
      <c r="C26">
        <v>0.18</v>
      </c>
    </row>
    <row r="28" spans="1:3" x14ac:dyDescent="0.2">
      <c r="A28" s="1">
        <v>46220</v>
      </c>
      <c r="B28" t="s">
        <v>33</v>
      </c>
      <c r="C28">
        <v>0.45</v>
      </c>
    </row>
    <row r="29" spans="1:3" x14ac:dyDescent="0.2">
      <c r="B29" t="s">
        <v>34</v>
      </c>
      <c r="C29">
        <v>0.46</v>
      </c>
    </row>
    <row r="30" spans="1:3" x14ac:dyDescent="0.2">
      <c r="B30" t="s">
        <v>35</v>
      </c>
      <c r="C30">
        <v>0.67</v>
      </c>
    </row>
    <row r="31" spans="1:3" x14ac:dyDescent="0.2">
      <c r="B31" t="s">
        <v>36</v>
      </c>
      <c r="C31">
        <v>0.46</v>
      </c>
    </row>
    <row r="32" spans="1:3" x14ac:dyDescent="0.2">
      <c r="B32" t="s">
        <v>37</v>
      </c>
      <c r="C32">
        <v>0.65</v>
      </c>
    </row>
    <row r="33" spans="1:3" x14ac:dyDescent="0.2">
      <c r="B33" t="s">
        <v>38</v>
      </c>
      <c r="C33">
        <v>0.52</v>
      </c>
    </row>
    <row r="34" spans="1:3" x14ac:dyDescent="0.2">
      <c r="B34" t="s">
        <v>30</v>
      </c>
      <c r="C34">
        <v>0.9</v>
      </c>
    </row>
    <row r="35" spans="1:3" x14ac:dyDescent="0.2">
      <c r="B35" t="s">
        <v>31</v>
      </c>
      <c r="C35">
        <v>0.82</v>
      </c>
    </row>
    <row r="36" spans="1:3" x14ac:dyDescent="0.2">
      <c r="B36" t="s">
        <v>32</v>
      </c>
      <c r="C36">
        <v>0.78</v>
      </c>
    </row>
    <row r="37" spans="1:3" x14ac:dyDescent="0.2">
      <c r="B37" t="s">
        <v>39</v>
      </c>
      <c r="C37">
        <v>0.14000000000000001</v>
      </c>
    </row>
    <row r="38" spans="1:3" x14ac:dyDescent="0.2">
      <c r="B38" t="s">
        <v>40</v>
      </c>
      <c r="C38">
        <v>0.28000000000000003</v>
      </c>
    </row>
    <row r="39" spans="1:3" x14ac:dyDescent="0.2">
      <c r="B39" t="s">
        <v>41</v>
      </c>
      <c r="C39">
        <v>0.18</v>
      </c>
    </row>
    <row r="41" spans="1:3" x14ac:dyDescent="0.2">
      <c r="A41" s="1">
        <v>46234</v>
      </c>
      <c r="B41" t="s">
        <v>33</v>
      </c>
      <c r="C41">
        <v>0.15</v>
      </c>
    </row>
    <row r="42" spans="1:3" x14ac:dyDescent="0.2">
      <c r="B42" t="s">
        <v>34</v>
      </c>
      <c r="C42">
        <v>0.19</v>
      </c>
    </row>
    <row r="43" spans="1:3" x14ac:dyDescent="0.2">
      <c r="B43" t="s">
        <v>35</v>
      </c>
      <c r="C43">
        <v>0.1</v>
      </c>
    </row>
    <row r="44" spans="1:3" x14ac:dyDescent="0.2">
      <c r="B44" t="s">
        <v>36</v>
      </c>
      <c r="C44">
        <v>0.22</v>
      </c>
    </row>
    <row r="45" spans="1:3" x14ac:dyDescent="0.2">
      <c r="B45" t="s">
        <v>37</v>
      </c>
      <c r="C45">
        <v>0.34</v>
      </c>
    </row>
    <row r="46" spans="1:3" x14ac:dyDescent="0.2">
      <c r="B46" t="s">
        <v>38</v>
      </c>
      <c r="C46">
        <v>0.27</v>
      </c>
    </row>
    <row r="47" spans="1:3" x14ac:dyDescent="0.2">
      <c r="B47" t="s">
        <v>30</v>
      </c>
      <c r="C47">
        <v>0.3</v>
      </c>
    </row>
    <row r="48" spans="1:3" x14ac:dyDescent="0.2">
      <c r="B48" t="s">
        <v>31</v>
      </c>
      <c r="C48">
        <v>0.28000000000000003</v>
      </c>
    </row>
    <row r="49" spans="2:3" x14ac:dyDescent="0.2">
      <c r="B49" t="s">
        <v>32</v>
      </c>
      <c r="C49">
        <v>0.32</v>
      </c>
    </row>
    <row r="50" spans="2:3" x14ac:dyDescent="0.2">
      <c r="B50" t="s">
        <v>39</v>
      </c>
      <c r="C50">
        <v>0.53</v>
      </c>
    </row>
    <row r="51" spans="2:3" x14ac:dyDescent="0.2">
      <c r="B51" t="s">
        <v>40</v>
      </c>
      <c r="C51">
        <v>0.91</v>
      </c>
    </row>
    <row r="52" spans="2:3" x14ac:dyDescent="0.2">
      <c r="B52" t="s">
        <v>41</v>
      </c>
      <c r="C52">
        <v>0.74</v>
      </c>
    </row>
  </sheetData>
  <mergeCells count="2">
    <mergeCell ref="D2:G2"/>
    <mergeCell ref="D15:I15"/>
  </mergeCells>
  <pageMargins left="0.7" right="0.7" top="0.75" bottom="0.75" header="0.3" footer="0.3"/>
  <pageSetup orientation="portrait" horizontalDpi="0" verticalDpi="0"/>
  <ignoredErrors>
    <ignoredError sqref="K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# Leaves</vt:lpstr>
      <vt:lpstr>SPAD</vt:lpstr>
      <vt:lpstr>LAI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 Student</dc:creator>
  <cp:lastModifiedBy>Research Student</cp:lastModifiedBy>
  <cp:lastPrinted>2026-09-22T23:47:09Z</cp:lastPrinted>
  <dcterms:created xsi:type="dcterms:W3CDTF">2026-06-03T13:53:09Z</dcterms:created>
  <dcterms:modified xsi:type="dcterms:W3CDTF">2026-10-05T17:35:04Z</dcterms:modified>
</cp:coreProperties>
</file>